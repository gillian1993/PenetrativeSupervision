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e96547466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概览" sheetId="1" r:id="R2a3a9efb27c54f9a"/>
    <x:sheet xmlns:r="http://schemas.openxmlformats.org/officeDocument/2006/relationships" name="规则清单" sheetId="2" r:id="Rc3712ce07dcb4c95"/>
    <x:sheet xmlns:r="http://schemas.openxmlformats.org/officeDocument/2006/relationships" name="智能能力" sheetId="3" r:id="R82946a7ffe06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2">
    <x:font>
      <x:sz val="11"/>
      <x:name val="Carlito"/>
    </x:font>
    <x:font>
      <x:b/>
      <x:sz val="16"/>
      <x:color rgb="FFFFFFFF"/>
      <x:name val="Microsoft YaHei"/>
    </x:font>
    <x:font>
      <x:sz val="9"/>
      <x:color rgb="FF3A556A"/>
      <x:name val="Microsoft YaHei"/>
    </x:font>
    <x:font>
      <x:sz val="9"/>
      <x:color rgb="FF7A5710"/>
      <x:name val="Microsoft YaHei"/>
    </x:font>
    <x:font>
      <x:b/>
      <x:sz val="10"/>
      <x:color rgb="FFFFFFFF"/>
      <x:name val="Microsoft YaHei"/>
    </x:font>
    <x:font>
      <x:sz val="9"/>
      <x:color rgb="FF243746"/>
      <x:name val="Microsoft YaHei"/>
    </x:font>
    <x:font>
      <x:b/>
      <x:sz val="9"/>
      <x:color rgb="FFA63D32"/>
      <x:name val="Microsoft YaHei"/>
    </x:font>
    <x:font>
      <x:b/>
      <x:sz val="9"/>
      <x:color rgb="FF1D5E9E"/>
      <x:name val="Microsoft YaHei"/>
    </x:font>
    <x:font>
      <x:b/>
      <x:sz val="9"/>
      <x:color rgb="FF8A5A00"/>
      <x:name val="Microsoft YaHei"/>
    </x:font>
    <x:font>
      <x:b/>
      <x:sz val="9"/>
      <x:color rgb="FF6B7280"/>
      <x:name val="Microsoft YaHei"/>
    </x:font>
    <x:font>
      <x:b/>
      <x:sz val="10"/>
      <x:color rgb="FF1D5E9E"/>
      <x:name val="Microsoft YaHei"/>
    </x:font>
    <x:font>
      <x:b/>
      <x:sz val="22"/>
      <x:color rgb="FF1D5E9E"/>
      <x:name val="Microsoft YaHei"/>
    </x:font>
    <x:font>
      <x:b/>
      <x:sz val="10"/>
      <x:color rgb="FF187052"/>
      <x:name val="Microsoft YaHei"/>
    </x:font>
    <x:font>
      <x:b/>
      <x:sz val="22"/>
      <x:color rgb="FF187052"/>
      <x:name val="Microsoft YaHei"/>
    </x:font>
    <x:font>
      <x:b/>
      <x:sz val="10"/>
      <x:color rgb="FF8A5A00"/>
      <x:name val="Microsoft YaHei"/>
    </x:font>
    <x:font>
      <x:b/>
      <x:sz val="22"/>
      <x:color rgb="FF8A5A00"/>
      <x:name val="Microsoft YaHei"/>
    </x:font>
    <x:font>
      <x:b/>
      <x:sz val="10"/>
      <x:color rgb="FF6D45A6"/>
      <x:name val="Microsoft YaHei"/>
    </x:font>
    <x:font>
      <x:b/>
      <x:sz val="22"/>
      <x:color rgb="FF6D45A6"/>
      <x:name val="Microsoft YaHei"/>
    </x:font>
    <x:font>
      <x:b/>
      <x:sz val="10"/>
      <x:color rgb="FF5C6670"/>
      <x:name val="Microsoft YaHei"/>
    </x:font>
    <x:font>
      <x:b/>
      <x:sz val="22"/>
      <x:color rgb="FF5C6670"/>
      <x:name val="Microsoft YaHei"/>
    </x:font>
    <x:font>
      <x:b/>
      <x:sz val="11"/>
      <x:color rgb="FFFFFFFF"/>
      <x:name val="Microsoft YaHei"/>
    </x:font>
    <x:font>
      <x:sz val="9"/>
      <x:color rgb="FF3F5363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43A5A"/>
      </x:patternFill>
    </x:fill>
    <x:fill>
      <x:patternFill patternType="solid">
        <x:fgColor rgb="FFEAF1F6"/>
      </x:patternFill>
    </x:fill>
    <x:fill>
      <x:patternFill patternType="solid">
        <x:fgColor rgb="FFFFF8E8"/>
      </x:patternFill>
    </x:fill>
    <x:fill>
      <x:patternFill patternType="solid">
        <x:fgColor rgb="FF1F5C83"/>
      </x:patternFill>
    </x:fill>
    <x:fill>
      <x:patternFill patternType="solid">
        <x:fgColor rgb="FFFCE8E6"/>
      </x:patternFill>
    </x:fill>
    <x:fill>
      <x:patternFill patternType="solid">
        <x:fgColor rgb="FFE8F3FF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E8F6F0"/>
      </x:patternFill>
    </x:fill>
    <x:fill>
      <x:patternFill patternType="solid">
        <x:fgColor rgb="FFF0EAFE"/>
      </x:patternFill>
    </x:fill>
    <x:fill>
      <x:patternFill patternType="solid">
        <x:fgColor rgb="FFF7F9FB"/>
      </x:patternFill>
    </x:fill>
  </x:fills>
  <x:borders count="6">
    <x:border/>
    <x:border>
      <x:left style="thin">
        <x:color rgb="FFB8CAD6"/>
      </x:left>
      <x:right style="thin">
        <x:color rgb="FFB8CAD6"/>
      </x:right>
      <x:top style="thin">
        <x:color rgb="FFB8CAD6"/>
      </x:top>
      <x:bottom style="thin">
        <x:color rgb="FFB8CAD6"/>
      </x:bottom>
    </x:border>
    <x:border>
      <x:bottom style="thin">
        <x:color rgb="FFDDE5EA"/>
      </x:bottom>
    </x:border>
    <x:border>
      <x:top style="thin">
        <x:color rgb="FFDDE5EA"/>
      </x:top>
      <x:bottom style="thin">
        <x:color rgb="FFDDE5EA"/>
      </x:bottom>
    </x:border>
    <x:border>
      <x:top style="thin">
        <x:color rgb="FFDDE5EA"/>
      </x:top>
      <x:bottom style="thin">
        <x:color rgb="FFC9D5DD"/>
      </x:bottom>
    </x:border>
    <x:border>
      <x:left style="thin">
        <x:color rgb="FFCAD7DF"/>
      </x:left>
      <x:right style="thin">
        <x:color rgb="FFCAD7DF"/>
      </x:right>
      <x:top style="thin">
        <x:color rgb="FFCAD7DF"/>
      </x:top>
      <x:bottom style="thin">
        <x:color rgb="FFCAD7DF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5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5" xfId="0" applyNumberFormat="1" applyFont="1" applyFill="1" applyBorder="1"/>
    <x:xf numFmtId="200" fontId="11" fillId="10" borderId="5" xfId="0" applyNumberFormat="1" applyFont="1" applyFill="1" applyBorder="1"/>
    <x:xf numFmtId="200" fontId="11" fillId="10" borderId="5" xfId="0" applyNumberFormat="1" applyFont="1" applyFill="1" applyBorder="1" applyAlignment="1">
      <x:alignment horizontal="center"/>
    </x:xf>
    <x:xf numFmtId="200" fontId="11" fillId="10" borderId="5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5" xfId="0" applyNumberFormat="1" applyFont="1" applyFill="1" applyBorder="1"/>
    <x:xf numFmtId="0" fontId="12" fillId="11" borderId="5" xfId="0" applyNumberFormat="1" applyFont="1" applyFill="1" applyBorder="1" applyAlignment="1">
      <x:alignment horizontal="center"/>
    </x:xf>
    <x:xf numFmtId="0" fontId="12" fillId="11" borderId="5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/>
    <x:xf numFmtId="0" fontId="13" fillId="10" borderId="5" xfId="0" applyNumberFormat="1" applyFont="1" applyFill="1" applyBorder="1"/>
    <x:xf numFmtId="200" fontId="13" fillId="10" borderId="5" xfId="0" applyNumberFormat="1" applyFont="1" applyFill="1" applyBorder="1"/>
    <x:xf numFmtId="200" fontId="13" fillId="10" borderId="5" xfId="0" applyNumberFormat="1" applyFont="1" applyFill="1" applyBorder="1" applyAlignment="1">
      <x:alignment horizontal="center"/>
    </x:xf>
    <x:xf numFmtId="200" fontId="13" fillId="10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5" xfId="0" applyNumberFormat="1" applyFont="1" applyFill="1" applyBorder="1"/>
    <x:xf numFmtId="0" fontId="14" fillId="8" borderId="5" xfId="0" applyNumberFormat="1" applyFont="1" applyFill="1" applyBorder="1" applyAlignment="1">
      <x:alignment horizontal="center"/>
    </x:xf>
    <x:xf numFmtId="0" fontId="14" fillId="8" borderId="5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0" fontId="15" fillId="10" borderId="5" xfId="0" applyNumberFormat="1" applyFont="1" applyFill="1" applyBorder="1"/>
    <x:xf numFmtId="200" fontId="15" fillId="10" borderId="5" xfId="0" applyNumberFormat="1" applyFont="1" applyFill="1" applyBorder="1"/>
    <x:xf numFmtId="200" fontId="15" fillId="10" borderId="5" xfId="0" applyNumberFormat="1" applyFont="1" applyFill="1" applyBorder="1" applyAlignment="1">
      <x:alignment horizontal="center"/>
    </x:xf>
    <x:xf numFmtId="200" fontId="15" fillId="10" borderId="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5" xfId="0" applyNumberFormat="1" applyFont="1" applyFill="1" applyBorder="1"/>
    <x:xf numFmtId="0" fontId="16" fillId="12" borderId="5" xfId="0" applyNumberFormat="1" applyFont="1" applyFill="1" applyBorder="1" applyAlignment="1">
      <x:alignment horizontal="center"/>
    </x:xf>
    <x:xf numFmtId="0" fontId="16" fillId="12" borderId="5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/>
    <x:xf numFmtId="0" fontId="17" fillId="10" borderId="5" xfId="0" applyNumberFormat="1" applyFont="1" applyFill="1" applyBorder="1"/>
    <x:xf numFmtId="200" fontId="17" fillId="10" borderId="5" xfId="0" applyNumberFormat="1" applyFont="1" applyFill="1" applyBorder="1"/>
    <x:xf numFmtId="200" fontId="17" fillId="10" borderId="5" xfId="0" applyNumberFormat="1" applyFont="1" applyFill="1" applyBorder="1" applyAlignment="1">
      <x:alignment horizontal="center"/>
    </x:xf>
    <x:xf numFmtId="200" fontId="17" fillId="10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5" xfId="0" applyNumberFormat="1" applyFont="1" applyFill="1" applyBorder="1"/>
    <x:xf numFmtId="0" fontId="18" fillId="9" borderId="5" xfId="0" applyNumberFormat="1" applyFont="1" applyFill="1" applyBorder="1" applyAlignment="1">
      <x:alignment horizontal="center"/>
    </x:xf>
    <x:xf numFmtId="0" fontId="18" fillId="9" borderId="5" xfId="0" applyNumberFormat="1" applyFont="1" applyFill="1" applyBorder="1" applyAlignment="1">
      <x:alignment horizontal="center" vertical="center"/>
    </x:xf>
    <x:xf numFmtId="0" fontId="19" fillId="10" borderId="0" xfId="0" applyNumberFormat="1" applyFont="1" applyFill="1" applyBorder="1"/>
    <x:xf numFmtId="0" fontId="19" fillId="10" borderId="5" xfId="0" applyNumberFormat="1" applyFont="1" applyFill="1" applyBorder="1"/>
    <x:xf numFmtId="200" fontId="19" fillId="10" borderId="5" xfId="0" applyNumberFormat="1" applyFont="1" applyFill="1" applyBorder="1"/>
    <x:xf numFmtId="200" fontId="19" fillId="10" borderId="5" xfId="0" applyNumberFormat="1" applyFont="1" applyFill="1" applyBorder="1" applyAlignment="1">
      <x:alignment horizontal="center"/>
    </x:xf>
    <x:xf numFmtId="200" fontId="19" fillId="10" borderId="5" xfId="0" applyNumberFormat="1" applyFont="1" applyFill="1" applyBorder="1" applyAlignment="1">
      <x:alignment horizontal="center" vertical="center"/>
    </x:xf>
    <x:xf numFmtId="0" fontId="5" fillId="7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horizontal="left"/>
    </x:xf>
    <x:xf numFmtId="0" fontId="20" fillId="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5" xfId="0" applyNumberFormat="1" applyFont="1" applyFill="1" applyBorder="1"/>
    <x:xf numFmtId="0" fontId="21" fillId="13" borderId="5" xfId="0" applyNumberFormat="1" applyFont="1" applyFill="1" applyBorder="1" applyAlignment="1">
      <x:alignment wrapText="1"/>
    </x:xf>
    <x:xf numFmtId="0" fontId="21" fillId="1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685b2e6ca4b56" /><Relationship Type="http://schemas.openxmlformats.org/officeDocument/2006/relationships/theme" Target="/xl/theme/theme1.xml" Id="R9eea71ae14a94f32" /><Relationship Type="http://schemas.openxmlformats.org/officeDocument/2006/relationships/sharedStrings" Target="/xl/sharedStrings.xml" Id="R8449e25338ae4243" /><Relationship Type="http://schemas.openxmlformats.org/officeDocument/2006/relationships/worksheet" Target="/xl/worksheets/sheet1.xml" Id="R2a3a9efb27c54f9a" /><Relationship Type="http://schemas.openxmlformats.org/officeDocument/2006/relationships/worksheet" Target="/xl/worksheets/sheet2.xml" Id="Rc3712ce07dcb4c95" /><Relationship Type="http://schemas.openxmlformats.org/officeDocument/2006/relationships/worksheet" Target="/xl/worksheets/sheet3.xml" Id="R82946a7ffe064529" /></Relationships>
</file>

<file path=xl/tables/table1.xml><?xml version="1.0" encoding="utf-8"?>
<x:table xmlns:x="http://schemas.openxmlformats.org/spreadsheetml/2006/main" id="1" name="RuleInventoryTable" displayName="RuleInventoryTable" ref="A6:Q106" headerRowCount="1" totalsRowCount="0" totalsRowShown="0">
  <x:autoFilter ref="A6:Q106"/>
  <x:tableColumns count="17">
    <x:tableColumn id="1" name="序号"/>
    <x:tableColumn id="2" name="领域"/>
    <x:tableColumn id="3" name="风险场景"/>
    <x:tableColumn id="4" name="场景编号"/>
    <x:tableColumn id="5" name="事前/事中/事后"/>
    <x:tableColumn id="6" name="用户模式类目"/>
    <x:tableColumn id="7" name="用户模式编号"/>
    <x:tableColumn id="8" name="用户模式名称"/>
    <x:tableColumn id="9" name="原子规则编号"/>
    <x:tableColumn id="10" name="原子规则名称"/>
    <x:tableColumn id="11" name="规则类型"/>
    <x:tableColumn id="12" name="风险等级"/>
    <x:tableColumn id="13" name="规则状态"/>
    <x:tableColumn id="14" name="启用情况"/>
    <x:tableColumn id="15" name="建设/覆盖状态"/>
    <x:tableColumn id="16" name="规则来源"/>
    <x:tableColumn id="17" name="规则说明/摘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bilityInventoryTable" displayName="CapabilityInventoryTable" ref="A6:O8" headerRowCount="1" totalsRowCount="0" totalsRowShown="0">
  <x:autoFilter ref="A6:O8"/>
  <x:tableColumns count="15">
    <x:tableColumn id="1" name="序号"/>
    <x:tableColumn id="2" name="领域"/>
    <x:tableColumn id="3" name="风险场景"/>
    <x:tableColumn id="4" name="场景编号"/>
    <x:tableColumn id="5" name="事前/事中/事后"/>
    <x:tableColumn id="6" name="模式类目"/>
    <x:tableColumn id="7" name="用户模式编号"/>
    <x:tableColumn id="8" name="用户模式名称"/>
    <x:tableColumn id="9" name="能力编号"/>
    <x:tableColumn id="10" name="能力名称"/>
    <x:tableColumn id="11" name="风险等级"/>
    <x:tableColumn id="12" name="状态"/>
    <x:tableColumn id="13" name="启用情况"/>
    <x:tableColumn id="14" name="建设/覆盖状态"/>
    <x:tableColumn id="15" name="能力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289e527a2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2db821e6cd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4" t="str">
        <x:v>现有规则统计概览</x:v>
      </x:c>
    </x:row>
    <x:row r="2" ht="30" customHeight="1">
      <x:c r="A2" s="9" t="str">
        <x:v>口径：普通规则资产按规则编号去重；智能能力单列；数据截至 2026-07-22 10:36:05，来自当前服务连接的 MySQL 数据库。</x:v>
      </x:c>
    </x:row>
    <x:row r="4">
      <x:c r="A4" s="54" t="str">
        <x:v>普通规则资产</x:v>
      </x:c>
      <x:c r="C4" s="65" t="str">
        <x:v>智能能力</x:v>
      </x:c>
      <x:c r="E4" s="75" t="str">
        <x:v>已绑定场景规则</x:v>
      </x:c>
      <x:c r="G4" s="85" t="str">
        <x:v>已纳入用户模式</x:v>
      </x:c>
      <x:c r="I4" s="95" t="str">
        <x:v>阶段待确认</x:v>
      </x:c>
    </x:row>
    <x:row r="5">
      <x:c r="A5" s="60" t="n">
        <x:f>COUNTA('规则清单'!$I$7:$I$106)</x:f>
        <x:v>100</x:v>
      </x:c>
      <x:c r="C5" s="70" t="n">
        <x:f>COUNTA('智能能力'!$I$7:$I$8)</x:f>
        <x:v>2</x:v>
      </x:c>
      <x:c r="E5" s="80" t="n">
        <x:f>COUNTIF('规则清单'!$C$7:$C$106,"&lt;&gt;未绑定场景")</x:f>
        <x:v>99</x:v>
      </x:c>
      <x:c r="G5" s="90" t="n">
        <x:f>COUNTIF('规则清单'!$H$7:$H$106,"&lt;&gt;未绑定用户模式")</x:f>
        <x:v>80</x:v>
      </x:c>
      <x:c r="I5" s="100" t="n">
        <x:f>COUNTIF('规则清单'!$E$7:$E$106,"待确认")</x:f>
        <x:v>6</x:v>
      </x:c>
    </x:row>
    <x:row r="9" ht="30" customHeight="1">
      <x:c r="A9" s="19" t="str">
        <x:v>阶段覆盖</x:v>
      </x:c>
      <x:c r="B9" s="19" t="str">
        <x:v>规则数</x:v>
      </x:c>
      <x:c r="D9" s="19" t="str">
        <x:v>领域</x:v>
      </x:c>
      <x:c r="E9" s="19" t="str">
        <x:v>规则数</x:v>
      </x:c>
      <x:c r="G9" s="19" t="str">
        <x:v>规则启用情况</x:v>
      </x:c>
      <x:c r="H9" s="19" t="str">
        <x:v>规则数</x:v>
      </x:c>
    </x:row>
    <x:row r="10" ht="36" customHeight="1">
      <x:c r="A10" s="103" t="str">
        <x:v>事前</x:v>
      </x:c>
      <x:c r="B10" s="27" t="n">
        <x:f>COUNTIF('规则清单'!$E$7:$E$106,"事前")+COUNTIF('规则清单'!$E$7:$E$106,"事前/事中")+COUNTIF('规则清单'!$E$7:$E$106,"事前/事后")+COUNTIF('规则清单'!$E$7:$E$106,"事前/事中/事后")</x:f>
        <x:v>52</x:v>
      </x:c>
      <x:c r="D10" s="27" t="str">
        <x:v>财务</x:v>
      </x:c>
      <x:c r="E10" s="27" t="n">
        <x:f>COUNTIF('规则清单'!$B$7:$B$106,D10)</x:f>
        <x:v>12</x:v>
      </x:c>
      <x:c r="G10" s="27" t="str">
        <x:v>全部启用</x:v>
      </x:c>
      <x:c r="H10" s="27" t="n">
        <x:f>COUNTIF('规则清单'!$N$7:$N$106,"全部启用")</x:f>
        <x:v>19</x:v>
      </x:c>
    </x:row>
    <x:row r="11" ht="36" customHeight="1">
      <x:c r="A11" s="40" t="str">
        <x:v>事中</x:v>
      </x:c>
      <x:c r="B11" s="28" t="n">
        <x:f>COUNTIF('规则清单'!$E$7:$E$106,"事中")+COUNTIF('规则清单'!$E$7:$E$106,"事前/事中")+COUNTIF('规则清单'!$E$7:$E$106,"事中/事后")+COUNTIF('规则清单'!$E$7:$E$106,"事前/事中/事后")</x:f>
        <x:v>70</x:v>
      </x:c>
      <x:c r="D11" s="28" t="str">
        <x:v>采购</x:v>
      </x:c>
      <x:c r="E11" s="28" t="n">
        <x:f>COUNTIF('规则清单'!$B$7:$B$106,D11)</x:f>
        <x:v>45</x:v>
      </x:c>
      <x:c r="G11" s="28" t="str">
        <x:v>部分启用</x:v>
      </x:c>
      <x:c r="H11" s="28" t="n">
        <x:f>COUNTIF('规则清单'!$N$7:$N$106,"部分启用*")</x:f>
        <x:v>0</x:v>
      </x:c>
    </x:row>
    <x:row r="12" ht="36" customHeight="1">
      <x:c r="A12" s="36" t="str">
        <x:v>事后</x:v>
      </x:c>
      <x:c r="B12" s="28" t="n">
        <x:f>COUNTIF('规则清单'!$E$7:$E$106,"事后")+COUNTIF('规则清单'!$E$7:$E$106,"事前/事后")+COUNTIF('规则清单'!$E$7:$E$106,"事中/事后")+COUNTIF('规则清单'!$E$7:$E$106,"事前/事中/事后")</x:f>
        <x:v>48</x:v>
      </x:c>
      <x:c r="D12" s="28" t="str">
        <x:v>采购/供应链</x:v>
      </x:c>
      <x:c r="E12" s="28" t="n">
        <x:f>COUNTIF('规则清单'!$B$7:$B$106,D12)</x:f>
        <x:v>16</x:v>
      </x:c>
      <x:c r="G12" s="28" t="str">
        <x:v>全部禁用</x:v>
      </x:c>
      <x:c r="H12" s="28" t="n">
        <x:f>COUNTIF('规则清单'!$N$7:$N$106,"全部禁用")</x:f>
        <x:v>80</x:v>
      </x:c>
    </x:row>
    <x:row r="13" ht="36" customHeight="1">
      <x:c r="A13" s="109" t="str">
        <x:v>待确认</x:v>
      </x:c>
      <x:c r="B13" s="29" t="n">
        <x:f>COUNTIF('规则清单'!$E$7:$E$106,"待确认")</x:f>
        <x:v>6</x:v>
      </x:c>
      <x:c r="D13" s="28" t="str">
        <x:v>供应链</x:v>
      </x:c>
      <x:c r="E13" s="28" t="n">
        <x:f>COUNTIF('规则清单'!$B$7:$B$106,D13)</x:f>
        <x:v>16</x:v>
      </x:c>
      <x:c r="G13" s="29" t="str">
        <x:v>未绑定</x:v>
      </x:c>
      <x:c r="H13" s="29" t="n">
        <x:f>COUNTIF('规则清单'!$N$7:$N$106,"未绑定")</x:f>
        <x:v>1</x:v>
      </x:c>
    </x:row>
    <x:row r="14" ht="36" customHeight="1">
      <x:c r="D14" s="28" t="str">
        <x:v>合同</x:v>
      </x:c>
      <x:c r="E14" s="28" t="n">
        <x:f>COUNTIF('规则清单'!$B$7:$B$106,D14)</x:f>
        <x:v>5</x:v>
      </x:c>
    </x:row>
    <x:row r="15" ht="36" customHeight="1">
      <x:c r="D15" s="29" t="str">
        <x:v>合同/供应链</x:v>
      </x:c>
      <x:c r="E15" s="29" t="n">
        <x:f>COUNTIF('规则清单'!$B$7:$B$106,D15)</x:f>
        <x:v>6</x:v>
      </x:c>
    </x:row>
    <x:row r="16">
      <x:c r="A16" s="112" t="str">
        <x:v>口径说明</x:v>
      </x:c>
    </x:row>
    <x:row r="17" ht="78" customHeight="1">
      <x:c r="A17" s="117" t="str">
        <x:v>1. “事前/事中/事后”按用户模式阶段与场景阶段合并归类，复合阶段会在阶段覆盖统计中重复计数。
2. “全部禁用”表示该规则已经绑定场景，但当前所有场景绑定均未启用；“未绑定”表示规则资产尚未关联风险场景。
3. 用户模式编号（101、A01、B01等）与原子规则编号（RULE-101-01等）分列保留；共享规则会同时列出多个用户模式。
4. M101、M102 属于智能能力，不进入普通规则引擎，因此在“智能能力”工作表单独展示。</x:v>
      </x:c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16:J16"/>
    <x:mergeCell ref="A17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3" hidden="0" customWidth="1"/>
    <x:col min="5" max="5" width="14" hidden="0" customWidth="1"/>
    <x:col min="6" max="6" width="23" hidden="0" customWidth="1"/>
    <x:col min="7" max="7" width="15" hidden="0" customWidth="1"/>
    <x:col min="8" max="8" width="28" hidden="0" customWidth="1"/>
    <x:col min="9" max="9" width="22" hidden="0" customWidth="1"/>
    <x:col min="10" max="10" width="31" hidden="0" customWidth="1"/>
    <x:col min="11" max="11" width="13" hidden="0" customWidth="1"/>
    <x:col min="12" max="12" width="11" hidden="0" customWidth="1"/>
    <x:col min="13" max="13" width="11" hidden="0" customWidth="1"/>
    <x:col min="14" max="14" width="16" hidden="0" customWidth="1"/>
    <x:col min="15" max="15" width="19" hidden="0" customWidth="1"/>
    <x:col min="16" max="16" width="16" hidden="0" customWidth="1"/>
    <x:col min="17" max="17" width="48" hidden="0" customWidth="1"/>
  </x:cols>
  <x:sheetData>
    <x:row r="1" ht="34" customHeight="1">
      <x:c r="A1" s="4" t="str">
        <x:v>现有规则领域—场景—阶段清单</x:v>
      </x:c>
    </x:row>
    <x:row r="2" ht="30" customHeight="1">
      <x:c r="A2" s="9" t="str">
        <x:v>数据来源：当前运行服务连接的 MySQL 数据库；生成时间：2026-07-22 10:36:05。监管阶段优先取用户模式配置，未纳入模式时取场景阶段；无配置显示“待确认”。</x:v>
      </x:c>
    </x:row>
    <x:row r="4" ht="28" customHeight="1">
      <x:c r="A4" s="13" t="str">
        <x:v>说明：一行对应一项普通规则资产；同一规则关联多个场景或用户模式时，以单元格内换行展示。复合阶段（如事前/事中）表示该规则可在多个监管节点使用。</x:v>
      </x:c>
    </x:row>
    <x:row r="6" ht="30" customHeight="1">
      <x:c r="A6" s="19" t="str">
        <x:v>序号</x:v>
      </x:c>
      <x:c r="B6" s="19" t="str">
        <x:v>领域</x:v>
      </x:c>
      <x:c r="C6" s="19" t="str">
        <x:v>风险场景</x:v>
      </x:c>
      <x:c r="D6" s="19" t="str">
        <x:v>场景编号</x:v>
      </x:c>
      <x:c r="E6" s="19" t="str">
        <x:v>事前/事中/事后</x:v>
      </x:c>
      <x:c r="F6" s="19" t="str">
        <x:v>用户模式类目</x:v>
      </x:c>
      <x:c r="G6" s="19" t="str">
        <x:v>用户模式编号</x:v>
      </x:c>
      <x:c r="H6" s="19" t="str">
        <x:v>用户模式名称</x:v>
      </x:c>
      <x:c r="I6" s="19" t="str">
        <x:v>原子规则编号</x:v>
      </x:c>
      <x:c r="J6" s="19" t="str">
        <x:v>原子规则名称</x:v>
      </x:c>
      <x:c r="K6" s="19" t="str">
        <x:v>规则类型</x:v>
      </x:c>
      <x:c r="L6" s="19" t="str">
        <x:v>风险等级</x:v>
      </x:c>
      <x:c r="M6" s="19" t="str">
        <x:v>规则状态</x:v>
      </x:c>
      <x:c r="N6" s="19" t="str">
        <x:v>启用情况</x:v>
      </x:c>
      <x:c r="O6" s="19" t="str">
        <x:v>建设/覆盖状态</x:v>
      </x:c>
      <x:c r="P6" s="19" t="str">
        <x:v>规则来源</x:v>
      </x:c>
      <x:c r="Q6" s="19" t="str">
        <x:v>规则说明/摘要</x:v>
      </x:c>
    </x:row>
    <x:row r="7" ht="36" customHeight="1">
      <x:c r="A7" s="30" t="n">
        <x:v>1</x:v>
      </x:c>
      <x:c r="B7" s="27" t="str">
        <x:v>财务</x:v>
      </x:c>
      <x:c r="C7" s="27" t="str">
        <x:v>结算模式异常</x:v>
      </x:c>
      <x:c r="D7" s="30" t="str">
        <x:v>SCENE-SETTLE-008</x:v>
      </x:c>
      <x:c r="E7" s="34" t="str">
        <x:v>事中/事后</x:v>
      </x:c>
      <x:c r="F7" s="27" t="str">
        <x:v>结算模式异常识别</x:v>
      </x:c>
      <x:c r="G7" s="30" t="str">
        <x:v>501</x:v>
      </x:c>
      <x:c r="H7" s="27" t="str">
        <x:v>短期客商双向收付款异常检测</x:v>
      </x:c>
      <x:c r="I7" s="30" t="str">
        <x:v>RULE-501-01</x:v>
      </x:c>
      <x:c r="J7" s="27" t="str">
        <x:v>短期客商双向收付款异常检测</x:v>
      </x:c>
      <x:c r="K7" s="30" t="str">
        <x:v>聚合</x:v>
      </x:c>
      <x:c r="L7" s="30" t="str">
        <x:v>高</x:v>
      </x:c>
      <x:c r="M7" s="30" t="str">
        <x:v>草稿</x:v>
      </x:c>
      <x:c r="N7" s="30" t="str">
        <x:v>全部禁用</x:v>
      </x:c>
      <x:c r="O7" s="30" t="str">
        <x:v>已有演示明细，待规则化</x:v>
      </x:c>
      <x:c r="P7" s="30" t="str">
        <x:v>用户提出</x:v>
      </x:c>
      <x:c r="Q7" s="27" t="str">
        <x:v>15天内与同一客商或关联主体同时发生收款和付款。；判定条件：15天内同时存在收款和付款。</x:v>
      </x:c>
    </x:row>
    <x:row r="8" ht="36" customHeight="1">
      <x:c r="A8" s="31" t="n">
        <x:v>2</x:v>
      </x:c>
      <x:c r="B8" s="28" t="str">
        <x:v>财务</x:v>
      </x:c>
      <x:c r="C8" s="28" t="str">
        <x:v>结算模式异常</x:v>
      </x:c>
      <x:c r="D8" s="31" t="str">
        <x:v>SCENE-SETTLE-008</x:v>
      </x:c>
      <x:c r="E8" s="36" t="str">
        <x:v>事中/事后</x:v>
      </x:c>
      <x:c r="F8" s="28" t="str">
        <x:v>结算模式异常识别</x:v>
      </x:c>
      <x:c r="G8" s="31" t="str">
        <x:v>502</x:v>
      </x:c>
      <x:c r="H8" s="28" t="str">
        <x:v>客商应收预付双向挂账检测</x:v>
      </x:c>
      <x:c r="I8" s="31" t="str">
        <x:v>RULE-502-01</x:v>
      </x:c>
      <x:c r="J8" s="28" t="str">
        <x:v>客商应收预付双向挂账检测</x:v>
      </x:c>
      <x:c r="K8" s="31" t="str">
        <x:v>聚合</x:v>
      </x:c>
      <x:c r="L8" s="31" t="str">
        <x:v>高</x:v>
      </x:c>
      <x:c r="M8" s="31" t="str">
        <x:v>草稿</x:v>
      </x:c>
      <x:c r="N8" s="31" t="str">
        <x:v>全部禁用</x:v>
      </x:c>
      <x:c r="O8" s="31" t="str">
        <x:v>待建设</x:v>
      </x:c>
      <x:c r="P8" s="31" t="str">
        <x:v>用户提出</x:v>
      </x:c>
      <x:c r="Q8" s="28" t="str">
        <x:v>同一客商及关联主体同时存在应收和预付余额。；判定条件：同时存在应收和预付余额。</x:v>
      </x:c>
    </x:row>
    <x:row r="9" ht="36" customHeight="1">
      <x:c r="A9" s="31" t="n">
        <x:v>3</x:v>
      </x:c>
      <x:c r="B9" s="28" t="str">
        <x:v>财务</x:v>
      </x:c>
      <x:c r="C9" s="28" t="str">
        <x:v>结算模式异常</x:v>
      </x:c>
      <x:c r="D9" s="31" t="str">
        <x:v>SCENE-SETTLE-008</x:v>
      </x:c>
      <x:c r="E9" s="36" t="str">
        <x:v>事中/事后</x:v>
      </x:c>
      <x:c r="F9" s="28" t="str">
        <x:v>结算模式异常识别</x:v>
      </x:c>
      <x:c r="G9" s="31" t="str">
        <x:v>503</x:v>
      </x:c>
      <x:c r="H9" s="28" t="str">
        <x:v>三流主体信息不一致检测</x:v>
      </x:c>
      <x:c r="I9" s="31" t="str">
        <x:v>RULE-503-01</x:v>
      </x:c>
      <x:c r="J9" s="28" t="str">
        <x:v>三流主体信息不一致检测</x:v>
      </x:c>
      <x:c r="K9" s="31" t="str">
        <x:v>字段比对</x:v>
      </x:c>
      <x:c r="L9" s="31" t="str">
        <x:v>重大</x:v>
      </x:c>
      <x:c r="M9" s="31" t="str">
        <x:v>草稿</x:v>
      </x:c>
      <x:c r="N9" s="31" t="str">
        <x:v>全部禁用</x:v>
      </x:c>
      <x:c r="O9" s="31" t="str">
        <x:v>已有演示明细，待规则化</x:v>
      </x:c>
      <x:c r="P9" s="31" t="str">
        <x:v>用户提出</x:v>
      </x:c>
      <x:c r="Q9" s="28" t="str">
        <x:v>合同、发票、收付款主体信息不一致且无有效授权。；判定条件：合同/发票/资金主体任一不一致且无授权。</x:v>
      </x:c>
    </x:row>
    <x:row r="10" ht="36" customHeight="1">
      <x:c r="A10" s="31" t="n">
        <x:v>4</x:v>
      </x:c>
      <x:c r="B10" s="28" t="str">
        <x:v>财务</x:v>
      </x:c>
      <x:c r="C10" s="28" t="str">
        <x:v>资金流异常</x:v>
      </x:c>
      <x:c r="D10" s="31" t="str">
        <x:v>SCENE-FUND-009</x:v>
      </x:c>
      <x:c r="E10" s="36" t="str">
        <x:v>事中/事后</x:v>
      </x:c>
      <x:c r="F10" s="28" t="str">
        <x:v>资金流异常识别</x:v>
      </x:c>
      <x:c r="G10" s="31" t="str">
        <x:v>601</x:v>
      </x:c>
      <x:c r="H10" s="28" t="str">
        <x:v>累计资金占用异常检测</x:v>
      </x:c>
      <x:c r="I10" s="31" t="str">
        <x:v>RULE-601-01</x:v>
      </x:c>
      <x:c r="J10" s="28" t="str">
        <x:v>累计资金占用异常检测</x:v>
      </x:c>
      <x:c r="K10" s="31" t="str">
        <x:v>聚合</x:v>
      </x:c>
      <x:c r="L10" s="31" t="str">
        <x:v>高</x:v>
      </x:c>
      <x:c r="M10" s="31" t="str">
        <x:v>草稿</x:v>
      </x:c>
      <x:c r="N10" s="31" t="str">
        <x:v>全部禁用</x:v>
      </x:c>
      <x:c r="O10" s="31" t="str">
        <x:v>待建设</x:v>
      </x:c>
      <x:c r="P10" s="31" t="str">
        <x:v>用户提出</x:v>
      </x:c>
      <x:c r="Q10" s="28" t="str">
        <x:v>累计占用超过配置天数且日均占用超过配置金额。；判定条件：占用天数&gt;X且日均占用&gt;Y万元。</x:v>
      </x:c>
    </x:row>
    <x:row r="11" ht="36" customHeight="1">
      <x:c r="A11" s="31" t="n">
        <x:v>5</x:v>
      </x:c>
      <x:c r="B11" s="28" t="str">
        <x:v>财务</x:v>
      </x:c>
      <x:c r="C11" s="28" t="str">
        <x:v>资金流异常</x:v>
      </x:c>
      <x:c r="D11" s="31" t="str">
        <x:v>SCENE-FUND-009</x:v>
      </x:c>
      <x:c r="E11" s="36" t="str">
        <x:v>事中/事后</x:v>
      </x:c>
      <x:c r="F11" s="28" t="str">
        <x:v>资金流异常识别</x:v>
      </x:c>
      <x:c r="G11" s="31" t="str">
        <x:v>602</x:v>
      </x:c>
      <x:c r="H11" s="28" t="str">
        <x:v>大额应收预付逾期检测</x:v>
      </x:c>
      <x:c r="I11" s="31" t="str">
        <x:v>RULE-602-01</x:v>
      </x:c>
      <x:c r="J11" s="28" t="str">
        <x:v>大额应收预付逾期检测</x:v>
      </x:c>
      <x:c r="K11" s="31" t="str">
        <x:v>聚合</x:v>
      </x:c>
      <x:c r="L11" s="31" t="str">
        <x:v>高</x:v>
      </x:c>
      <x:c r="M11" s="31" t="str">
        <x:v>草稿</x:v>
      </x:c>
      <x:c r="N11" s="31" t="str">
        <x:v>全部禁用</x:v>
      </x:c>
      <x:c r="O11" s="31" t="str">
        <x:v>待建设</x:v>
      </x:c>
      <x:c r="P11" s="31" t="str">
        <x:v>用户提出</x:v>
      </x:c>
      <x:c r="Q11" s="28" t="str">
        <x:v>应收或预付发生逾期且逾期金额超过配置阈值。；判定条件：逾期金额&gt;N万元。</x:v>
      </x:c>
    </x:row>
    <x:row r="12" ht="36" customHeight="1">
      <x:c r="A12" s="31" t="n">
        <x:v>6</x:v>
      </x:c>
      <x:c r="B12" s="28" t="str">
        <x:v>财务</x:v>
      </x:c>
      <x:c r="C12" s="28" t="str">
        <x:v>资金流异常</x:v>
      </x:c>
      <x:c r="D12" s="31" t="str">
        <x:v>SCENE-FUND-009</x:v>
      </x:c>
      <x:c r="E12" s="36" t="str">
        <x:v>事中/事后</x:v>
      </x:c>
      <x:c r="F12" s="28" t="str">
        <x:v>资金流异常识别</x:v>
      </x:c>
      <x:c r="G12" s="31" t="str">
        <x:v>603</x:v>
      </x:c>
      <x:c r="H12" s="28" t="str">
        <x:v>收付款节点大幅前置异常检测</x:v>
      </x:c>
      <x:c r="I12" s="31" t="str">
        <x:v>RULE-603-01</x:v>
      </x:c>
      <x:c r="J12" s="28" t="str">
        <x:v>收付款节点大幅前置异常检测</x:v>
      </x:c>
      <x:c r="K12" s="31" t="str">
        <x:v>字段比对</x:v>
      </x:c>
      <x:c r="L12" s="31" t="str">
        <x:v>高</x:v>
      </x:c>
      <x:c r="M12" s="31" t="str">
        <x:v>草稿</x:v>
      </x:c>
      <x:c r="N12" s="31" t="str">
        <x:v>全部禁用</x:v>
      </x:c>
      <x:c r="O12" s="31" t="str">
        <x:v>待建设</x:v>
      </x:c>
      <x:c r="P12" s="31" t="str">
        <x:v>用户提出</x:v>
      </x:c>
      <x:c r="Q12" s="28" t="str">
        <x:v>实际收付款时间较合同约定提前90天以上。；判定条件：实际节点较合同约定提前&gt;90天。</x:v>
      </x:c>
    </x:row>
    <x:row r="13" ht="36" customHeight="1">
      <x:c r="A13" s="31" t="n">
        <x:v>7</x:v>
      </x:c>
      <x:c r="B13" s="28" t="str">
        <x:v>财务</x:v>
      </x:c>
      <x:c r="C13" s="28" t="str">
        <x:v>资金流异常</x:v>
      </x:c>
      <x:c r="D13" s="31" t="str">
        <x:v>SCENE-FUND-009</x:v>
      </x:c>
      <x:c r="E13" s="36" t="str">
        <x:v>事前/事中/事后</x:v>
      </x:c>
      <x:c r="F13" s="28" t="str">
        <x:v>资金流异常识别</x:v>
      </x:c>
      <x:c r="G13" s="31" t="str">
        <x:v>604</x:v>
      </x:c>
      <x:c r="H13" s="28" t="str">
        <x:v>高预付高负债风险检测</x:v>
      </x:c>
      <x:c r="I13" s="31" t="str">
        <x:v>RULE-604-01</x:v>
      </x:c>
      <x:c r="J13" s="28" t="str">
        <x:v>高预付高负债风险检测</x:v>
      </x:c>
      <x:c r="K13" s="31" t="str">
        <x:v>聚合</x:v>
      </x:c>
      <x:c r="L13" s="31" t="str">
        <x:v>重大</x:v>
      </x:c>
      <x:c r="M13" s="31" t="str">
        <x:v>草稿</x:v>
      </x:c>
      <x:c r="N13" s="31" t="str">
        <x:v>全部禁用</x:v>
      </x:c>
      <x:c r="O13" s="31" t="str">
        <x:v>待建设</x:v>
      </x:c>
      <x:c r="P13" s="31" t="str">
        <x:v>用户提出</x:v>
      </x:c>
      <x:c r="Q13" s="28" t="str">
        <x:v>预付款比例超过80%且对方资产负债率超过85%。；判定条件：预付比例&gt;80%且资产负债率&gt;85%。</x:v>
      </x:c>
    </x:row>
    <x:row r="14" ht="36" customHeight="1">
      <x:c r="A14" s="31" t="n">
        <x:v>8</x:v>
      </x:c>
      <x:c r="B14" s="28" t="str">
        <x:v>财务</x:v>
      </x:c>
      <x:c r="C14" s="28" t="str">
        <x:v>资金流异常</x:v>
      </x:c>
      <x:c r="D14" s="31" t="str">
        <x:v>SCENE-FUND-009</x:v>
      </x:c>
      <x:c r="E14" s="36" t="str">
        <x:v>事中/事后</x:v>
      </x:c>
      <x:c r="F14" s="28" t="str">
        <x:v>资金流异常识别</x:v>
      </x:c>
      <x:c r="G14" s="31" t="str">
        <x:v>605</x:v>
      </x:c>
      <x:c r="H14" s="28" t="str">
        <x:v>上下游回款账户同源检测</x:v>
      </x:c>
      <x:c r="I14" s="31" t="str">
        <x:v>RULE-605-01</x:v>
      </x:c>
      <x:c r="J14" s="28" t="str">
        <x:v>上下游回款账户同源检测</x:v>
      </x:c>
      <x:c r="K14" s="31" t="str">
        <x:v>字段比对</x:v>
      </x:c>
      <x:c r="L14" s="31" t="str">
        <x:v>重大</x:v>
      </x:c>
      <x:c r="M14" s="31" t="str">
        <x:v>草稿</x:v>
      </x:c>
      <x:c r="N14" s="31" t="str">
        <x:v>全部禁用</x:v>
      </x:c>
      <x:c r="O14" s="31" t="str">
        <x:v>已有演示明细，待规则化</x:v>
      </x:c>
      <x:c r="P14" s="31" t="str">
        <x:v>用户提出</x:v>
      </x:c>
      <x:c r="Q14" s="28" t="str">
        <x:v>上游收款账户与下游回款账户为同一账户。；判定条件：上游收款账户=下游回款账户。</x:v>
      </x:c>
    </x:row>
    <x:row r="15" ht="36" customHeight="1">
      <x:c r="A15" s="31" t="n">
        <x:v>9</x:v>
      </x:c>
      <x:c r="B15" s="28" t="str">
        <x:v>财务</x:v>
      </x:c>
      <x:c r="C15" s="28" t="str">
        <x:v>资金流异常</x:v>
      </x:c>
      <x:c r="D15" s="31" t="str">
        <x:v>SCENE-FUND-009</x:v>
      </x:c>
      <x:c r="E15" s="36" t="str">
        <x:v>事中/事后</x:v>
      </x:c>
      <x:c r="F15" s="28" t="str">
        <x:v>资金流异常识别</x:v>
      </x:c>
      <x:c r="G15" s="31" t="str">
        <x:v>606</x:v>
      </x:c>
      <x:c r="H15" s="28" t="str">
        <x:v>当日小额差额资金回流检测</x:v>
      </x:c>
      <x:c r="I15" s="31" t="str">
        <x:v>RULE-606-01</x:v>
      </x:c>
      <x:c r="J15" s="28" t="str">
        <x:v>当日小额差额资金回流检测</x:v>
      </x:c>
      <x:c r="K15" s="31" t="str">
        <x:v>聚合</x:v>
      </x:c>
      <x:c r="L15" s="31" t="str">
        <x:v>重大</x:v>
      </x:c>
      <x:c r="M15" s="31" t="str">
        <x:v>草稿</x:v>
      </x:c>
      <x:c r="N15" s="31" t="str">
        <x:v>全部禁用</x:v>
      </x:c>
      <x:c r="O15" s="31" t="str">
        <x:v>已有演示明细，待规则化</x:v>
      </x:c>
      <x:c r="P15" s="31" t="str">
        <x:v>用户提出</x:v>
      </x:c>
      <x:c r="Q15" s="28" t="str">
        <x:v>付款和回款发生在同一天且金额差异低于5%。；判定条件：同日收付且金额差值率&lt;5%。</x:v>
      </x:c>
    </x:row>
    <x:row r="16" ht="36" customHeight="1">
      <x:c r="A16" s="31" t="n">
        <x:v>10</x:v>
      </x:c>
      <x:c r="B16" s="28" t="str">
        <x:v>财务</x:v>
      </x:c>
      <x:c r="C16" s="28" t="str">
        <x:v>资金流异常</x:v>
      </x:c>
      <x:c r="D16" s="31" t="str">
        <x:v>SCENE-FUND-009</x:v>
      </x:c>
      <x:c r="E16" s="36" t="str">
        <x:v>事中/事后</x:v>
      </x:c>
      <x:c r="F16" s="28" t="str">
        <x:v>资金流异常识别</x:v>
      </x:c>
      <x:c r="G16" s="31" t="str">
        <x:v>607</x:v>
      </x:c>
      <x:c r="H16" s="28" t="str">
        <x:v>个人账户收款异常</x:v>
      </x:c>
      <x:c r="I16" s="31" t="str">
        <x:v>RULE-607-01</x:v>
      </x:c>
      <x:c r="J16" s="28" t="str">
        <x:v>个人账户收款异常</x:v>
      </x:c>
      <x:c r="K16" s="31" t="str">
        <x:v>字段比对</x:v>
      </x:c>
      <x:c r="L16" s="31" t="str">
        <x:v>重大</x:v>
      </x:c>
      <x:c r="M16" s="31" t="str">
        <x:v>草稿</x:v>
      </x:c>
      <x:c r="N16" s="31" t="str">
        <x:v>全部禁用</x:v>
      </x:c>
      <x:c r="O16" s="31" t="str">
        <x:v>待建设</x:v>
      </x:c>
      <x:c r="P16" s="31" t="str">
        <x:v>用户提出</x:v>
      </x:c>
      <x:c r="Q16" s="28" t="str">
        <x:v>贸易回款进入法人、股东、员工或其他个人账户。；判定条件：收款账户类型=个人。</x:v>
      </x:c>
    </x:row>
    <x:row r="17" ht="36" customHeight="1">
      <x:c r="A17" s="31" t="n">
        <x:v>11</x:v>
      </x:c>
      <x:c r="B17" s="28" t="str">
        <x:v>财务</x:v>
      </x:c>
      <x:c r="C17" s="28" t="str">
        <x:v>资金流异常</x:v>
      </x:c>
      <x:c r="D17" s="31" t="str">
        <x:v>SCENE-FUND-009</x:v>
      </x:c>
      <x:c r="E17" s="36" t="str">
        <x:v>事中/事后</x:v>
      </x:c>
      <x:c r="F17" s="28" t="str">
        <x:v>资金流补充</x:v>
      </x:c>
      <x:c r="G17" s="31" t="str">
        <x:v>608</x:v>
      </x:c>
      <x:c r="H17" s="28" t="str">
        <x:v>付款后流向采购方关联主体</x:v>
      </x:c>
      <x:c r="I17" s="31" t="str">
        <x:v>RULE-608-01</x:v>
      </x:c>
      <x:c r="J17" s="28" t="str">
        <x:v>付款后资金流向采购方关联主体</x:v>
      </x:c>
      <x:c r="K17" s="31" t="str">
        <x:v>时序</x:v>
      </x:c>
      <x:c r="L17" s="31" t="str">
        <x:v>重大</x:v>
      </x:c>
      <x:c r="M17" s="31" t="str">
        <x:v>草稿</x:v>
      </x:c>
      <x:c r="N17" s="31" t="str">
        <x:v>全部禁用</x:v>
      </x:c>
      <x:c r="O17" s="31" t="str">
        <x:v>已实现</x:v>
      </x:c>
      <x:c r="P17" s="31" t="str">
        <x:v>融合补充</x:v>
      </x:c>
      <x:c r="Q17" s="28" t="str">
        <x:v>付款后3天内80%以上资金流向采购方关联企业或关联账户。；判定条件：3天内关联流出比例≥80%。</x:v>
      </x:c>
    </x:row>
    <x:row r="18" ht="36" customHeight="1">
      <x:c r="A18" s="31" t="n">
        <x:v>12</x:v>
      </x:c>
      <x:c r="B18" s="28" t="str">
        <x:v>财务</x:v>
      </x:c>
      <x:c r="C18" s="28" t="str">
        <x:v>资金流异常</x:v>
      </x:c>
      <x:c r="D18" s="31" t="str">
        <x:v>SCENE-FUND-009</x:v>
      </x:c>
      <x:c r="E18" s="36" t="str">
        <x:v>事中/事后</x:v>
      </x:c>
      <x:c r="F18" s="28" t="str">
        <x:v>其他异常识别</x:v>
      </x:c>
      <x:c r="G18" s="31" t="str">
        <x:v>804</x:v>
      </x:c>
      <x:c r="H18" s="28" t="str">
        <x:v>企业资金归集异常聚合检测</x:v>
      </x:c>
      <x:c r="I18" s="31" t="str">
        <x:v>RULE-804-01</x:v>
      </x:c>
      <x:c r="J18" s="28" t="str">
        <x:v>企业资金归集异常聚合检测</x:v>
      </x:c>
      <x:c r="K18" s="31" t="str">
        <x:v>属性</x:v>
      </x:c>
      <x:c r="L18" s="31" t="str">
        <x:v>高</x:v>
      </x:c>
      <x:c r="M18" s="31" t="str">
        <x:v>草稿</x:v>
      </x:c>
      <x:c r="N18" s="31" t="str">
        <x:v>全部禁用</x:v>
      </x:c>
      <x:c r="O18" s="31" t="str">
        <x:v>待建设</x:v>
      </x:c>
      <x:c r="P18" s="31" t="str">
        <x:v>用户提出</x:v>
      </x:c>
      <x:c r="Q18" s="28" t="str">
        <x:v>按主体聚合连续收支，识别异常资金归集和集中往来。；判定条件：周期内资金归集度超过配置阈值。</x:v>
      </x:c>
    </x:row>
    <x:row r="19" ht="36" customHeight="1">
      <x:c r="A19" s="31" t="n">
        <x:v>13</x:v>
      </x:c>
      <x:c r="B19" s="28" t="str">
        <x:v>采购</x:v>
      </x:c>
      <x:c r="C19" s="28" t="str">
        <x:v>采购方式不合规</x:v>
      </x:c>
      <x:c r="D19" s="31" t="str">
        <x:v>SCENE-PROC-001</x:v>
      </x:c>
      <x:c r="E19" s="38" t="str">
        <x:v>事前</x:v>
      </x:c>
      <x:c r="F19" s="28" t="str">
        <x:v>未绑定用户模式</x:v>
      </x:c>
      <x:c r="G19" s="31" t="str">
        <x:v>—</x:v>
      </x:c>
      <x:c r="H19" s="28" t="str">
        <x:v>未绑定用户模式</x:v>
      </x:c>
      <x:c r="I19" s="31" t="str">
        <x:v>RULE-DEMO-001</x:v>
      </x:c>
      <x:c r="J19" s="28" t="str">
        <x:v>达到公开招标阈值但采用非公开方式</x:v>
      </x:c>
      <x:c r="K19" s="31" t="str">
        <x:v>属性</x:v>
      </x:c>
      <x:c r="L19" s="31" t="str">
        <x:v>重大</x:v>
      </x:c>
      <x:c r="M19" s="31" t="str">
        <x:v>已发布</x:v>
      </x:c>
      <x:c r="N19" s="31" t="str">
        <x:v>全部启用</x:v>
      </x:c>
      <x:c r="O19" s="31" t="str">
        <x:v>待确认</x:v>
      </x:c>
      <x:c r="P19" s="31" t="str">
        <x:v>既有系统规则</x:v>
      </x:c>
      <x:c r="Q19" s="28" t="str">
        <x:v>项目金额达到阈值且采购方式不是公开招标。</x:v>
      </x:c>
    </x:row>
    <x:row r="20" ht="36" customHeight="1">
      <x:c r="A20" s="31" t="n">
        <x:v>14</x:v>
      </x:c>
      <x:c r="B20" s="28" t="str">
        <x:v>采购</x:v>
      </x:c>
      <x:c r="C20" s="28" t="str">
        <x:v>采购方式不合规</x:v>
      </x:c>
      <x:c r="D20" s="31" t="str">
        <x:v>SCENE-PROC-001</x:v>
      </x:c>
      <x:c r="E20" s="38" t="str">
        <x:v>事前</x:v>
      </x:c>
      <x:c r="F20" s="28" t="str">
        <x:v>未绑定用户模式</x:v>
      </x:c>
      <x:c r="G20" s="31" t="str">
        <x:v>—</x:v>
      </x:c>
      <x:c r="H20" s="28" t="str">
        <x:v>未绑定用户模式</x:v>
      </x:c>
      <x:c r="I20" s="31" t="str">
        <x:v>RULE-DEMO-002</x:v>
      </x:c>
      <x:c r="J20" s="28" t="str">
        <x:v>非公开采购缺少有效例外审批</x:v>
      </x:c>
      <x:c r="K20" s="31" t="str">
        <x:v>字段比对</x:v>
      </x:c>
      <x:c r="L20" s="31" t="str">
        <x:v>高</x:v>
      </x:c>
      <x:c r="M20" s="31" t="str">
        <x:v>已发布</x:v>
      </x:c>
      <x:c r="N20" s="31" t="str">
        <x:v>全部启用</x:v>
      </x:c>
      <x:c r="O20" s="31" t="str">
        <x:v>待确认</x:v>
      </x:c>
      <x:c r="P20" s="31" t="str">
        <x:v>既有系统规则</x:v>
      </x:c>
      <x:c r="Q20" s="28" t="str">
        <x:v>非公开采购方式未关联有效例外审批。</x:v>
      </x:c>
    </x:row>
    <x:row r="21" ht="36" customHeight="1">
      <x:c r="A21" s="31" t="n">
        <x:v>15</x:v>
      </x:c>
      <x:c r="B21" s="28" t="str">
        <x:v>采购</x:v>
      </x:c>
      <x:c r="C21" s="28" t="str">
        <x:v>采购方式不合规</x:v>
      </x:c>
      <x:c r="D21" s="31" t="str">
        <x:v>SCENE-CG-001</x:v>
      </x:c>
      <x:c r="E21" s="40" t="str">
        <x:v>事前/事中</x:v>
      </x:c>
      <x:c r="F21" s="28" t="str">
        <x:v>采购方式补充</x:v>
      </x:c>
      <x:c r="G21" s="31" t="str">
        <x:v>CG01</x:v>
      </x:c>
      <x:c r="H21" s="28" t="str">
        <x:v>采购方式不合规综合检测</x:v>
      </x:c>
      <x:c r="I21" s="31" t="str">
        <x:v>RULE-CG01-01</x:v>
      </x:c>
      <x:c r="J21" s="28" t="str">
        <x:v>达到公开招标阈值但采用非公开方式</x:v>
      </x:c>
      <x:c r="K21" s="31" t="str">
        <x:v>字段比对</x:v>
      </x:c>
      <x:c r="L21" s="31" t="str">
        <x:v>重大</x:v>
      </x:c>
      <x:c r="M21" s="31" t="str">
        <x:v>草稿</x:v>
      </x:c>
      <x:c r="N21" s="31" t="str">
        <x:v>全部禁用</x:v>
      </x:c>
      <x:c r="O21" s="31" t="str">
        <x:v>部分实现</x:v>
      </x:c>
      <x:c r="P21" s="31" t="str">
        <x:v>融合补充</x:v>
      </x:c>
      <x:c r="Q21" s="28" t="str">
        <x:v>采购金额达到公开招标阈值，但采购方式不是公开招标。；判定条件：金额≥组织及品类有效阈值。</x:v>
      </x:c>
    </x:row>
    <x:row r="22" ht="36" customHeight="1">
      <x:c r="A22" s="31" t="n">
        <x:v>16</x:v>
      </x:c>
      <x:c r="B22" s="28" t="str">
        <x:v>采购</x:v>
      </x:c>
      <x:c r="C22" s="28" t="str">
        <x:v>采购方式不合规</x:v>
      </x:c>
      <x:c r="D22" s="31" t="str">
        <x:v>SCENE-CG-001</x:v>
      </x:c>
      <x:c r="E22" s="40" t="str">
        <x:v>事前/事中</x:v>
      </x:c>
      <x:c r="F22" s="28" t="str">
        <x:v>采购方式补充</x:v>
      </x:c>
      <x:c r="G22" s="31" t="str">
        <x:v>CG01</x:v>
      </x:c>
      <x:c r="H22" s="28" t="str">
        <x:v>采购方式不合规综合检测</x:v>
      </x:c>
      <x:c r="I22" s="31" t="str">
        <x:v>RULE-CG01-02</x:v>
      </x:c>
      <x:c r="J22" s="28" t="str">
        <x:v>非公开采购缺少有效例外审批</x:v>
      </x:c>
      <x:c r="K22" s="31" t="str">
        <x:v>字段比对</x:v>
      </x:c>
      <x:c r="L22" s="31" t="str">
        <x:v>高</x:v>
      </x:c>
      <x:c r="M22" s="31" t="str">
        <x:v>草稿</x:v>
      </x:c>
      <x:c r="N22" s="31" t="str">
        <x:v>全部禁用</x:v>
      </x:c>
      <x:c r="O22" s="31" t="str">
        <x:v>部分实现</x:v>
      </x:c>
      <x:c r="P22" s="31" t="str">
        <x:v>融合补充</x:v>
      </x:c>
      <x:c r="Q22" s="28" t="str">
        <x:v>非公开采购未关联有效例外事项和审批单。；判定条件：例外审批为空、过期或审批未通过。</x:v>
      </x:c>
    </x:row>
    <x:row r="23" ht="36" customHeight="1">
      <x:c r="A23" s="31" t="n">
        <x:v>17</x:v>
      </x:c>
      <x:c r="B23" s="28" t="str">
        <x:v>采购</x:v>
      </x:c>
      <x:c r="C23" s="28" t="str">
        <x:v>采购方式不合规</x:v>
      </x:c>
      <x:c r="D23" s="31" t="str">
        <x:v>SCENE-CG-001</x:v>
      </x:c>
      <x:c r="E23" s="40" t="str">
        <x:v>事前/事中</x:v>
      </x:c>
      <x:c r="F23" s="28" t="str">
        <x:v>采购方式补充</x:v>
      </x:c>
      <x:c r="G23" s="31" t="str">
        <x:v>CG01</x:v>
      </x:c>
      <x:c r="H23" s="28" t="str">
        <x:v>采购方式不合规综合检测</x:v>
      </x:c>
      <x:c r="I23" s="31" t="str">
        <x:v>RULE-CG01-03</x:v>
      </x:c>
      <x:c r="J23" s="28" t="str">
        <x:v>单一来源理由与事实不匹配</x:v>
      </x:c>
      <x:c r="K23" s="31" t="str">
        <x:v>字段比对</x:v>
      </x:c>
      <x:c r="L23" s="31" t="str">
        <x:v>高</x:v>
      </x:c>
      <x:c r="M23" s="31" t="str">
        <x:v>草稿</x:v>
      </x:c>
      <x:c r="N23" s="31" t="str">
        <x:v>全部禁用</x:v>
      </x:c>
      <x:c r="O23" s="31" t="str">
        <x:v>部分实现</x:v>
      </x:c>
      <x:c r="P23" s="31" t="str">
        <x:v>融合补充</x:v>
      </x:c>
      <x:c r="Q23" s="28" t="str">
        <x:v>采用单一来源但缺少唯一性、专利专有或连续性证明。；判定条件：理由不在允许范围或证明材料不完整。</x:v>
      </x:c>
    </x:row>
    <x:row r="24" ht="36" customHeight="1">
      <x:c r="A24" s="31" t="n">
        <x:v>18</x:v>
      </x:c>
      <x:c r="B24" s="28" t="str">
        <x:v>采购</x:v>
      </x:c>
      <x:c r="C24" s="28" t="str">
        <x:v>采购方式不合规</x:v>
      </x:c>
      <x:c r="D24" s="31" t="str">
        <x:v>SCENE-CG-001</x:v>
      </x:c>
      <x:c r="E24" s="40" t="str">
        <x:v>事前/事中</x:v>
      </x:c>
      <x:c r="F24" s="28" t="str">
        <x:v>采购方式补充</x:v>
      </x:c>
      <x:c r="G24" s="31" t="str">
        <x:v>CG01</x:v>
      </x:c>
      <x:c r="H24" s="28" t="str">
        <x:v>采购方式不合规综合检测</x:v>
      </x:c>
      <x:c r="I24" s="31" t="str">
        <x:v>RULE-CG01-04</x:v>
      </x:c>
      <x:c r="J24" s="28" t="str">
        <x:v>有效竞争供应商数量不足</x:v>
      </x:c>
      <x:c r="K24" s="31" t="str">
        <x:v>聚合</x:v>
      </x:c>
      <x:c r="L24" s="31" t="str">
        <x:v>高</x:v>
      </x:c>
      <x:c r="M24" s="31" t="str">
        <x:v>草稿</x:v>
      </x:c>
      <x:c r="N24" s="31" t="str">
        <x:v>全部禁用</x:v>
      </x:c>
      <x:c r="O24" s="31" t="str">
        <x:v>部分实现</x:v>
      </x:c>
      <x:c r="P24" s="31" t="str">
        <x:v>融合补充</x:v>
      </x:c>
      <x:c r="Q24" s="28" t="str">
        <x:v>询比价、竞争性谈判有效响应供应商不足且无例外审批。；判定条件：有效供应商数量&lt;3。</x:v>
      </x:c>
    </x:row>
    <x:row r="25" ht="36" customHeight="1">
      <x:c r="A25" s="31" t="n">
        <x:v>19</x:v>
      </x:c>
      <x:c r="B25" s="28" t="str">
        <x:v>采购</x:v>
      </x:c>
      <x:c r="C25" s="28" t="str">
        <x:v>采购方式不合规</x:v>
      </x:c>
      <x:c r="D25" s="31" t="str">
        <x:v>SCENE-CG-001</x:v>
      </x:c>
      <x:c r="E25" s="40" t="str">
        <x:v>事前/事中</x:v>
      </x:c>
      <x:c r="F25" s="28" t="str">
        <x:v>采购方式补充</x:v>
      </x:c>
      <x:c r="G25" s="31" t="str">
        <x:v>CG01</x:v>
      </x:c>
      <x:c r="H25" s="28" t="str">
        <x:v>采购方式不合规综合检测</x:v>
      </x:c>
      <x:c r="I25" s="31" t="str">
        <x:v>RULE-CG01-05</x:v>
      </x:c>
      <x:c r="J25" s="28" t="str">
        <x:v>采购方式变更未重新审批</x:v>
      </x:c>
      <x:c r="K25" s="31" t="str">
        <x:v>时序</x:v>
      </x:c>
      <x:c r="L25" s="31" t="str">
        <x:v>高</x:v>
      </x:c>
      <x:c r="M25" s="31" t="str">
        <x:v>草稿</x:v>
      </x:c>
      <x:c r="N25" s="31" t="str">
        <x:v>全部禁用</x:v>
      </x:c>
      <x:c r="O25" s="31" t="str">
        <x:v>部分实现</x:v>
      </x:c>
      <x:c r="P25" s="31" t="str">
        <x:v>融合补充</x:v>
      </x:c>
      <x:c r="Q25" s="28" t="str">
        <x:v>实际采购方式与已审批计划不同，且变更前未完成重新审批。；判定条件：方式不同且变更审批时间晚于实施时间。</x:v>
      </x:c>
    </x:row>
    <x:row r="26" ht="36" customHeight="1">
      <x:c r="A26" s="31" t="n">
        <x:v>20</x:v>
      </x:c>
      <x:c r="B26" s="28" t="str">
        <x:v>采购</x:v>
      </x:c>
      <x:c r="C26" s="28" t="str">
        <x:v>采购方式不合规</x:v>
      </x:c>
      <x:c r="D26" s="31" t="str">
        <x:v>SCENE-CG-001</x:v>
      </x:c>
      <x:c r="E26" s="40" t="str">
        <x:v>事前/事中</x:v>
      </x:c>
      <x:c r="F26" s="28" t="str">
        <x:v>采购方式补充</x:v>
      </x:c>
      <x:c r="G26" s="31" t="str">
        <x:v>CG01</x:v>
      </x:c>
      <x:c r="H26" s="28" t="str">
        <x:v>采购方式不合规综合检测</x:v>
      </x:c>
      <x:c r="I26" s="31" t="str">
        <x:v>RULE-CG01-06</x:v>
      </x:c>
      <x:c r="J26" s="28" t="str">
        <x:v>集采目录项目场外采购</x:v>
      </x:c>
      <x:c r="K26" s="31" t="str">
        <x:v>字段比对</x:v>
      </x:c>
      <x:c r="L26" s="31" t="str">
        <x:v>重大</x:v>
      </x:c>
      <x:c r="M26" s="31" t="str">
        <x:v>草稿</x:v>
      </x:c>
      <x:c r="N26" s="31" t="str">
        <x:v>全部禁用</x:v>
      </x:c>
      <x:c r="O26" s="31" t="str">
        <x:v>部分实现</x:v>
      </x:c>
      <x:c r="P26" s="31" t="str">
        <x:v>融合补充</x:v>
      </x:c>
      <x:c r="Q26" s="28" t="str">
        <x:v>标的属于强制集采或框架协议目录，但在目录外采购。；判定条件：目录命中且采购渠道不合规。</x:v>
      </x:c>
    </x:row>
    <x:row r="27" ht="36" customHeight="1">
      <x:c r="A27" s="31" t="n">
        <x:v>21</x:v>
      </x:c>
      <x:c r="B27" s="28" t="str">
        <x:v>采购</x:v>
      </x:c>
      <x:c r="C27" s="28" t="str">
        <x:v>采购方式不合规</x:v>
      </x:c>
      <x:c r="D27" s="31" t="str">
        <x:v>SCENE-CG-001</x:v>
      </x:c>
      <x:c r="E27" s="38" t="str">
        <x:v>事前</x:v>
      </x:c>
      <x:c r="F27" s="28" t="str">
        <x:v>采购方式补充</x:v>
      </x:c>
      <x:c r="G27" s="31" t="str">
        <x:v>CG02</x:v>
      </x:c>
      <x:c r="H27" s="28" t="str">
        <x:v>拆分采购规避集中采购</x:v>
      </x:c>
      <x:c r="I27" s="31" t="str">
        <x:v>RULE-CG02-01</x:v>
      </x:c>
      <x:c r="J27" s="28" t="str">
        <x:v>同需求同品类短期拆分采购</x:v>
      </x:c>
      <x:c r="K27" s="31" t="str">
        <x:v>聚合</x:v>
      </x:c>
      <x:c r="L27" s="31" t="str">
        <x:v>高</x:v>
      </x:c>
      <x:c r="M27" s="31" t="str">
        <x:v>草稿</x:v>
      </x:c>
      <x:c r="N27" s="31" t="str">
        <x:v>全部禁用</x:v>
      </x:c>
      <x:c r="O27" s="31" t="str">
        <x:v>已实现</x:v>
      </x:c>
      <x:c r="P27" s="31" t="str">
        <x:v>融合补充</x:v>
      </x:c>
      <x:c r="Q27" s="28" t="str">
        <x:v>同一需求、品类、供应商在30天内发生多笔小额采购且累计超过阈值。；判定条件：30天累计金额≥采购方式阈值且订单数≥2。</x:v>
      </x:c>
    </x:row>
    <x:row r="28" ht="36" customHeight="1">
      <x:c r="A28" s="31" t="n">
        <x:v>22</x:v>
      </x:c>
      <x:c r="B28" s="28" t="str">
        <x:v>采购</x:v>
      </x:c>
      <x:c r="C28" s="28" t="str">
        <x:v>采购流程不规范</x:v>
      </x:c>
      <x:c r="D28" s="31" t="str">
        <x:v>SCENE-PROC-005</x:v>
      </x:c>
      <x:c r="E28" s="40" t="str">
        <x:v>事中</x:v>
      </x:c>
      <x:c r="F28" s="28" t="str">
        <x:v>未绑定用户模式</x:v>
      </x:c>
      <x:c r="G28" s="31" t="str">
        <x:v>—</x:v>
      </x:c>
      <x:c r="H28" s="28" t="str">
        <x:v>未绑定用户模式</x:v>
      </x:c>
      <x:c r="I28" s="31" t="str">
        <x:v>RULE-DEMO-008</x:v>
      </x:c>
      <x:c r="J28" s="28" t="str">
        <x:v>招标公告早于预算批复</x:v>
      </x:c>
      <x:c r="K28" s="31" t="str">
        <x:v>时序</x:v>
      </x:c>
      <x:c r="L28" s="31" t="str">
        <x:v>高</x:v>
      </x:c>
      <x:c r="M28" s="31" t="str">
        <x:v>已发布</x:v>
      </x:c>
      <x:c r="N28" s="31" t="str">
        <x:v>全部启用</x:v>
      </x:c>
      <x:c r="O28" s="31" t="str">
        <x:v>待确认</x:v>
      </x:c>
      <x:c r="P28" s="31" t="str">
        <x:v>既有系统规则</x:v>
      </x:c>
      <x:c r="Q28" s="28" t="str">
        <x:v>公告发布前预算批复必须已经完成。</x:v>
      </x:c>
    </x:row>
    <x:row r="29" ht="36" customHeight="1">
      <x:c r="A29" s="31" t="n">
        <x:v>23</x:v>
      </x:c>
      <x:c r="B29" s="28" t="str">
        <x:v>采购</x:v>
      </x:c>
      <x:c r="C29" s="28" t="str">
        <x:v>采购流程不规范</x:v>
      </x:c>
      <x:c r="D29" s="31" t="str">
        <x:v>SCENE-PROC-005</x:v>
      </x:c>
      <x:c r="E29" s="40" t="str">
        <x:v>事中</x:v>
      </x:c>
      <x:c r="F29" s="28" t="str">
        <x:v>未绑定用户模式</x:v>
      </x:c>
      <x:c r="G29" s="31" t="str">
        <x:v>—</x:v>
      </x:c>
      <x:c r="H29" s="28" t="str">
        <x:v>未绑定用户模式</x:v>
      </x:c>
      <x:c r="I29" s="31" t="str">
        <x:v>RULE-DEMO-009</x:v>
      </x:c>
      <x:c r="J29" s="28" t="str">
        <x:v>公开招标投标期不足20天</x:v>
      </x:c>
      <x:c r="K29" s="31" t="str">
        <x:v>字段比对</x:v>
      </x:c>
      <x:c r="L29" s="31" t="str">
        <x:v>高</x:v>
      </x:c>
      <x:c r="M29" s="31" t="str">
        <x:v>已发布</x:v>
      </x:c>
      <x:c r="N29" s="31" t="str">
        <x:v>全部启用</x:v>
      </x:c>
      <x:c r="O29" s="31" t="str">
        <x:v>待确认</x:v>
      </x:c>
      <x:c r="P29" s="31" t="str">
        <x:v>既有系统规则</x:v>
      </x:c>
      <x:c r="Q29" s="28" t="str">
        <x:v>公开招标公告至投标截止不足20天。</x:v>
      </x:c>
    </x:row>
    <x:row r="30" ht="36" customHeight="1">
      <x:c r="A30" s="31" t="n">
        <x:v>24</x:v>
      </x:c>
      <x:c r="B30" s="28" t="str">
        <x:v>采购</x:v>
      </x:c>
      <x:c r="C30" s="28" t="str">
        <x:v>采购流程不规范</x:v>
      </x:c>
      <x:c r="D30" s="31" t="str">
        <x:v>SCENE-PROC-005</x:v>
      </x:c>
      <x:c r="E30" s="40" t="str">
        <x:v>事中</x:v>
      </x:c>
      <x:c r="F30" s="28" t="str">
        <x:v>未绑定用户模式</x:v>
      </x:c>
      <x:c r="G30" s="31" t="str">
        <x:v>—</x:v>
      </x:c>
      <x:c r="H30" s="28" t="str">
        <x:v>未绑定用户模式</x:v>
      </x:c>
      <x:c r="I30" s="31" t="str">
        <x:v>RULE-DEMO-010</x:v>
      </x:c>
      <x:c r="J30" s="28" t="str">
        <x:v>评审专家指定且无抽取记录</x:v>
      </x:c>
      <x:c r="K30" s="31" t="str">
        <x:v>属性</x:v>
      </x:c>
      <x:c r="L30" s="31" t="str">
        <x:v>高</x:v>
      </x:c>
      <x:c r="M30" s="31" t="str">
        <x:v>已发布</x:v>
      </x:c>
      <x:c r="N30" s="31" t="str">
        <x:v>全部启用</x:v>
      </x:c>
      <x:c r="O30" s="31" t="str">
        <x:v>待确认</x:v>
      </x:c>
      <x:c r="P30" s="31" t="str">
        <x:v>既有系统规则</x:v>
      </x:c>
      <x:c r="Q30" s="28" t="str">
        <x:v>专家非随机抽取且未留存抽取记录。</x:v>
      </x:c>
    </x:row>
    <x:row r="31" ht="36" customHeight="1">
      <x:c r="A31" s="31" t="n">
        <x:v>25</x:v>
      </x:c>
      <x:c r="B31" s="28" t="str">
        <x:v>采购</x:v>
      </x:c>
      <x:c r="C31" s="28" t="str">
        <x:v>采购流程不规范</x:v>
      </x:c>
      <x:c r="D31" s="31" t="str">
        <x:v>SCENE-LC-004</x:v>
      </x:c>
      <x:c r="E31" s="40" t="str">
        <x:v>事前/事中</x:v>
      </x:c>
      <x:c r="F31" s="28" t="str">
        <x:v>流程合规补充</x:v>
      </x:c>
      <x:c r="G31" s="31" t="str">
        <x:v>LC01</x:v>
      </x:c>
      <x:c r="H31" s="28" t="str">
        <x:v>采购流程时序异常</x:v>
      </x:c>
      <x:c r="I31" s="31" t="str">
        <x:v>RULE-LC01-01</x:v>
      </x:c>
      <x:c r="J31" s="28" t="str">
        <x:v>招标公告早于预算批复</x:v>
      </x:c>
      <x:c r="K31" s="31" t="str">
        <x:v>时序</x:v>
      </x:c>
      <x:c r="L31" s="31" t="str">
        <x:v>高</x:v>
      </x:c>
      <x:c r="M31" s="31" t="str">
        <x:v>草稿</x:v>
      </x:c>
      <x:c r="N31" s="31" t="str">
        <x:v>全部禁用</x:v>
      </x:c>
      <x:c r="O31" s="31" t="str">
        <x:v>部分实现</x:v>
      </x:c>
      <x:c r="P31" s="31" t="str">
        <x:v>融合补充</x:v>
      </x:c>
      <x:c r="Q31" s="28" t="str">
        <x:v>招标公告发布时间早于预算批复完成时间。；判定条件：公告时间&lt;预算批复时间。</x:v>
      </x:c>
    </x:row>
    <x:row r="32" ht="36" customHeight="1">
      <x:c r="A32" s="31" t="n">
        <x:v>26</x:v>
      </x:c>
      <x:c r="B32" s="28" t="str">
        <x:v>采购</x:v>
      </x:c>
      <x:c r="C32" s="28" t="str">
        <x:v>采购流程不规范</x:v>
      </x:c>
      <x:c r="D32" s="31" t="str">
        <x:v>SCENE-LC-004</x:v>
      </x:c>
      <x:c r="E32" s="40" t="str">
        <x:v>事前/事中</x:v>
      </x:c>
      <x:c r="F32" s="28" t="str">
        <x:v>流程合规补充</x:v>
      </x:c>
      <x:c r="G32" s="31" t="str">
        <x:v>LC01</x:v>
      </x:c>
      <x:c r="H32" s="28" t="str">
        <x:v>采购流程时序异常</x:v>
      </x:c>
      <x:c r="I32" s="31" t="str">
        <x:v>RULE-LC01-02</x:v>
      </x:c>
      <x:c r="J32" s="28" t="str">
        <x:v>采购关键事件缺失或倒置</x:v>
      </x:c>
      <x:c r="K32" s="31" t="str">
        <x:v>时序</x:v>
      </x:c>
      <x:c r="L32" s="31" t="str">
        <x:v>高</x:v>
      </x:c>
      <x:c r="M32" s="31" t="str">
        <x:v>草稿</x:v>
      </x:c>
      <x:c r="N32" s="31" t="str">
        <x:v>全部禁用</x:v>
      </x:c>
      <x:c r="O32" s="31" t="str">
        <x:v>部分实现</x:v>
      </x:c>
      <x:c r="P32" s="31" t="str">
        <x:v>融合补充</x:v>
      </x:c>
      <x:c r="Q32" s="28" t="str">
        <x:v>需求、计划、预算、方式审批、公告等关键事件缺失或顺序异常。；判定条件：必需事件缺失或不满足制度顺序。</x:v>
      </x:c>
    </x:row>
    <x:row r="33" ht="36" customHeight="1">
      <x:c r="A33" s="31" t="n">
        <x:v>27</x:v>
      </x:c>
      <x:c r="B33" s="28" t="str">
        <x:v>采购</x:v>
      </x:c>
      <x:c r="C33" s="28" t="str">
        <x:v>采购流程不规范</x:v>
      </x:c>
      <x:c r="D33" s="31" t="str">
        <x:v>SCENE-LC-004</x:v>
      </x:c>
      <x:c r="E33" s="40" t="str">
        <x:v>事前/事中</x:v>
      </x:c>
      <x:c r="F33" s="28" t="str">
        <x:v>流程合规补充</x:v>
      </x:c>
      <x:c r="G33" s="31" t="str">
        <x:v>LC01</x:v>
      </x:c>
      <x:c r="H33" s="28" t="str">
        <x:v>采购流程时序异常</x:v>
      </x:c>
      <x:c r="I33" s="31" t="str">
        <x:v>RULE-LC01-03</x:v>
      </x:c>
      <x:c r="J33" s="28" t="str">
        <x:v>招标文件未审批即发布</x:v>
      </x:c>
      <x:c r="K33" s="31" t="str">
        <x:v>时序</x:v>
      </x:c>
      <x:c r="L33" s="31" t="str">
        <x:v>高</x:v>
      </x:c>
      <x:c r="M33" s="31" t="str">
        <x:v>草稿</x:v>
      </x:c>
      <x:c r="N33" s="31" t="str">
        <x:v>全部禁用</x:v>
      </x:c>
      <x:c r="O33" s="31" t="str">
        <x:v>部分实现</x:v>
      </x:c>
      <x:c r="P33" s="31" t="str">
        <x:v>融合补充</x:v>
      </x:c>
      <x:c r="Q33" s="28" t="str">
        <x:v>招标文件发布日期早于业务、法务或财务审批完成时间。；判定条件：发布时间&lt;必需审批完成时间。</x:v>
      </x:c>
    </x:row>
    <x:row r="34" ht="36" customHeight="1">
      <x:c r="A34" s="31" t="n">
        <x:v>28</x:v>
      </x:c>
      <x:c r="B34" s="28" t="str">
        <x:v>采购</x:v>
      </x:c>
      <x:c r="C34" s="28" t="str">
        <x:v>采购流程不规范</x:v>
      </x:c>
      <x:c r="D34" s="31" t="str">
        <x:v>SCENE-LC-004</x:v>
      </x:c>
      <x:c r="E34" s="40" t="str">
        <x:v>事前/事中</x:v>
      </x:c>
      <x:c r="F34" s="28" t="str">
        <x:v>流程合规补充</x:v>
      </x:c>
      <x:c r="G34" s="31" t="str">
        <x:v>LC01</x:v>
      </x:c>
      <x:c r="H34" s="28" t="str">
        <x:v>采购流程时序异常</x:v>
      </x:c>
      <x:c r="I34" s="31" t="str">
        <x:v>RULE-LC01-04</x:v>
      </x:c>
      <x:c r="J34" s="28" t="str">
        <x:v>中标公示期内提前签约</x:v>
      </x:c>
      <x:c r="K34" s="31" t="str">
        <x:v>时序</x:v>
      </x:c>
      <x:c r="L34" s="31" t="str">
        <x:v>重大</x:v>
      </x:c>
      <x:c r="M34" s="31" t="str">
        <x:v>草稿</x:v>
      </x:c>
      <x:c r="N34" s="31" t="str">
        <x:v>全部禁用</x:v>
      </x:c>
      <x:c r="O34" s="31" t="str">
        <x:v>部分实现</x:v>
      </x:c>
      <x:c r="P34" s="31" t="str">
        <x:v>融合补充</x:v>
      </x:c>
      <x:c r="Q34" s="28" t="str">
        <x:v>合同签订早于中标公示或异议处理结束时间。；判定条件：合同签订时间&lt;公示/异议结束时间。</x:v>
      </x:c>
    </x:row>
    <x:row r="35" ht="36" customHeight="1">
      <x:c r="A35" s="31" t="n">
        <x:v>29</x:v>
      </x:c>
      <x:c r="B35" s="28" t="str">
        <x:v>采购</x:v>
      </x:c>
      <x:c r="C35" s="28" t="str">
        <x:v>采购流程不规范</x:v>
      </x:c>
      <x:c r="D35" s="31" t="str">
        <x:v>SCENE-LC-004</x:v>
      </x:c>
      <x:c r="E35" s="40" t="str">
        <x:v>事前/事中</x:v>
      </x:c>
      <x:c r="F35" s="28" t="str">
        <x:v>流程合规补充</x:v>
      </x:c>
      <x:c r="G35" s="31" t="str">
        <x:v>LC02</x:v>
      </x:c>
      <x:c r="H35" s="28" t="str">
        <x:v>采购程序及评审异常</x:v>
      </x:c>
      <x:c r="I35" s="31" t="str">
        <x:v>RULE-LC02-01</x:v>
      </x:c>
      <x:c r="J35" s="28" t="str">
        <x:v>公开招标投标期不足20天</x:v>
      </x:c>
      <x:c r="K35" s="31" t="str">
        <x:v>时序</x:v>
      </x:c>
      <x:c r="L35" s="31" t="str">
        <x:v>高</x:v>
      </x:c>
      <x:c r="M35" s="31" t="str">
        <x:v>草稿</x:v>
      </x:c>
      <x:c r="N35" s="31" t="str">
        <x:v>全部禁用</x:v>
      </x:c>
      <x:c r="O35" s="31" t="str">
        <x:v>部分实现</x:v>
      </x:c>
      <x:c r="P35" s="31" t="str">
        <x:v>融合补充</x:v>
      </x:c>
      <x:c r="Q35" s="28" t="str">
        <x:v>公开招标公告至投标截止的有效时间不足20天。；判定条件：有效投标期&lt;20天。</x:v>
      </x:c>
    </x:row>
    <x:row r="36" ht="36" customHeight="1">
      <x:c r="A36" s="31" t="n">
        <x:v>30</x:v>
      </x:c>
      <x:c r="B36" s="28" t="str">
        <x:v>采购</x:v>
      </x:c>
      <x:c r="C36" s="28" t="str">
        <x:v>采购流程不规范</x:v>
      </x:c>
      <x:c r="D36" s="31" t="str">
        <x:v>SCENE-LC-004</x:v>
      </x:c>
      <x:c r="E36" s="40" t="str">
        <x:v>事前/事中</x:v>
      </x:c>
      <x:c r="F36" s="28" t="str">
        <x:v>流程合规补充</x:v>
      </x:c>
      <x:c r="G36" s="31" t="str">
        <x:v>LC02</x:v>
      </x:c>
      <x:c r="H36" s="28" t="str">
        <x:v>采购程序及评审异常</x:v>
      </x:c>
      <x:c r="I36" s="31" t="str">
        <x:v>RULE-LC02-02</x:v>
      </x:c>
      <x:c r="J36" s="28" t="str">
        <x:v>评审专家指定且无抽取记录</x:v>
      </x:c>
      <x:c r="K36" s="31" t="str">
        <x:v>时序</x:v>
      </x:c>
      <x:c r="L36" s="31" t="str">
        <x:v>高</x:v>
      </x:c>
      <x:c r="M36" s="31" t="str">
        <x:v>草稿</x:v>
      </x:c>
      <x:c r="N36" s="31" t="str">
        <x:v>全部禁用</x:v>
      </x:c>
      <x:c r="O36" s="31" t="str">
        <x:v>部分实现</x:v>
      </x:c>
      <x:c r="P36" s="31" t="str">
        <x:v>融合补充</x:v>
      </x:c>
      <x:c r="Q36" s="28" t="str">
        <x:v>专家产生方式为指定且未留存有效随机抽取记录。；判定条件：指定专家且抽取记录为空。</x:v>
      </x:c>
    </x:row>
    <x:row r="37" ht="36" customHeight="1">
      <x:c r="A37" s="31" t="n">
        <x:v>31</x:v>
      </x:c>
      <x:c r="B37" s="28" t="str">
        <x:v>采购</x:v>
      </x:c>
      <x:c r="C37" s="28" t="str">
        <x:v>采购流程不规范</x:v>
      </x:c>
      <x:c r="D37" s="31" t="str">
        <x:v>SCENE-LC-004</x:v>
      </x:c>
      <x:c r="E37" s="40" t="str">
        <x:v>事前/事中</x:v>
      </x:c>
      <x:c r="F37" s="28" t="str">
        <x:v>流程合规补充</x:v>
      </x:c>
      <x:c r="G37" s="31" t="str">
        <x:v>LC02</x:v>
      </x:c>
      <x:c r="H37" s="28" t="str">
        <x:v>采购程序及评审异常</x:v>
      </x:c>
      <x:c r="I37" s="31" t="str">
        <x:v>RULE-LC02-03</x:v>
      </x:c>
      <x:c r="J37" s="28" t="str">
        <x:v>重大变更未顺延投标期</x:v>
      </x:c>
      <x:c r="K37" s="31" t="str">
        <x:v>时序</x:v>
      </x:c>
      <x:c r="L37" s="31" t="str">
        <x:v>高</x:v>
      </x:c>
      <x:c r="M37" s="31" t="str">
        <x:v>草稿</x:v>
      </x:c>
      <x:c r="N37" s="31" t="str">
        <x:v>全部禁用</x:v>
      </x:c>
      <x:c r="O37" s="31" t="str">
        <x:v>部分实现</x:v>
      </x:c>
      <x:c r="P37" s="31" t="str">
        <x:v>融合补充</x:v>
      </x:c>
      <x:c r="Q37" s="28" t="str">
        <x:v>资格、技术或价格等关键条件变更后未按制度顺延截止时间。；判定条件：重大变更且顺延天数&lt;制度要求。</x:v>
      </x:c>
    </x:row>
    <x:row r="38" ht="36" customHeight="1">
      <x:c r="A38" s="31" t="n">
        <x:v>32</x:v>
      </x:c>
      <x:c r="B38" s="28" t="str">
        <x:v>采购</x:v>
      </x:c>
      <x:c r="C38" s="28" t="str">
        <x:v>采购流程不规范</x:v>
      </x:c>
      <x:c r="D38" s="31" t="str">
        <x:v>SCENE-LC-004</x:v>
      </x:c>
      <x:c r="E38" s="40" t="str">
        <x:v>事前/事中</x:v>
      </x:c>
      <x:c r="F38" s="28" t="str">
        <x:v>流程合规补充</x:v>
      </x:c>
      <x:c r="G38" s="31" t="str">
        <x:v>LC02</x:v>
      </x:c>
      <x:c r="H38" s="28" t="str">
        <x:v>采购程序及评审异常</x:v>
      </x:c>
      <x:c r="I38" s="31" t="str">
        <x:v>RULE-LC02-04</x:v>
      </x:c>
      <x:c r="J38" s="28" t="str">
        <x:v>评审委员会组成异常</x:v>
      </x:c>
      <x:c r="K38" s="31" t="str">
        <x:v>聚合</x:v>
      </x:c>
      <x:c r="L38" s="31" t="str">
        <x:v>高</x:v>
      </x:c>
      <x:c r="M38" s="31" t="str">
        <x:v>草稿</x:v>
      </x:c>
      <x:c r="N38" s="31" t="str">
        <x:v>全部禁用</x:v>
      </x:c>
      <x:c r="O38" s="31" t="str">
        <x:v>部分实现</x:v>
      </x:c>
      <x:c r="P38" s="31" t="str">
        <x:v>融合补充</x:v>
      </x:c>
      <x:c r="Q38" s="28" t="str">
        <x:v>专家人数、外部专家比例、回避关系或签字完整性不符合制度。；判定条件：任一组成或回避约束不满足。</x:v>
      </x:c>
    </x:row>
    <x:row r="39" ht="36" customHeight="1">
      <x:c r="A39" s="31" t="n">
        <x:v>33</x:v>
      </x:c>
      <x:c r="B39" s="28" t="str">
        <x:v>采购</x:v>
      </x:c>
      <x:c r="C39" s="28" t="str">
        <x:v>拆分采购规避集中采购</x:v>
      </x:c>
      <x:c r="D39" s="31" t="str">
        <x:v>SCENE-PROC-002</x:v>
      </x:c>
      <x:c r="E39" s="38" t="str">
        <x:v>事前</x:v>
      </x:c>
      <x:c r="F39" s="28" t="str">
        <x:v>未绑定用户模式</x:v>
      </x:c>
      <x:c r="G39" s="31" t="str">
        <x:v>—</x:v>
      </x:c>
      <x:c r="H39" s="28" t="str">
        <x:v>未绑定用户模式</x:v>
      </x:c>
      <x:c r="I39" s="31" t="str">
        <x:v>RULE-DEMO-003</x:v>
      </x:c>
      <x:c r="J39" s="28" t="str">
        <x:v>同需求同品类短期拆分采购</x:v>
      </x:c>
      <x:c r="K39" s="31" t="str">
        <x:v>聚合</x:v>
      </x:c>
      <x:c r="L39" s="31" t="str">
        <x:v>高</x:v>
      </x:c>
      <x:c r="M39" s="31" t="str">
        <x:v>已发布</x:v>
      </x:c>
      <x:c r="N39" s="31" t="str">
        <x:v>全部启用</x:v>
      </x:c>
      <x:c r="O39" s="31" t="str">
        <x:v>待确认</x:v>
      </x:c>
      <x:c r="P39" s="31" t="str">
        <x:v>既有系统规则</x:v>
      </x:c>
      <x:c r="Q39" s="28" t="str">
        <x:v>30天内同一需求、品类和供应商订单累计超过集中采购阈值。</x:v>
      </x:c>
    </x:row>
    <x:row r="40" ht="36" customHeight="1">
      <x:c r="A40" s="31" t="n">
        <x:v>34</x:v>
      </x:c>
      <x:c r="B40" s="28" t="str">
        <x:v>采购</x:v>
      </x:c>
      <x:c r="C40" s="28" t="str">
        <x:v>供应商与评审人员利益关联</x:v>
      </x:c>
      <x:c r="D40" s="31" t="str">
        <x:v>SCENE-001</x:v>
      </x:c>
      <x:c r="E40" s="42" t="str">
        <x:v>待确认</x:v>
      </x:c>
      <x:c r="F40" s="28" t="str">
        <x:v>未绑定用户模式</x:v>
      </x:c>
      <x:c r="G40" s="31" t="str">
        <x:v>—</x:v>
      </x:c>
      <x:c r="H40" s="28" t="str">
        <x:v>未绑定用户模式</x:v>
      </x:c>
      <x:c r="I40" s="31" t="str">
        <x:v>RULE-001</x:v>
      </x:c>
      <x:c r="J40" s="28" t="str">
        <x:v>供应商与评审人员共同联系方式</x:v>
      </x:c>
      <x:c r="K40" s="31" t="str">
        <x:v>关系路径</x:v>
      </x:c>
      <x:c r="L40" s="31" t="str">
        <x:v>重大</x:v>
      </x:c>
      <x:c r="M40" s="31" t="str">
        <x:v>已发布</x:v>
      </x:c>
      <x:c r="N40" s="31" t="str">
        <x:v>全部启用</x:v>
      </x:c>
      <x:c r="O40" s="31" t="str">
        <x:v>待确认</x:v>
      </x:c>
      <x:c r="P40" s="31" t="str">
        <x:v>既有系统规则</x:v>
      </x:c>
      <x:c r="Q40" s="28" t="str">
        <x:v>命中主体关联路径时生成风险预警并固化证据。</x:v>
      </x:c>
    </x:row>
    <x:row r="41" ht="36" customHeight="1">
      <x:c r="A41" s="31" t="n">
        <x:v>35</x:v>
      </x:c>
      <x:c r="B41" s="28" t="str">
        <x:v>采购</x:v>
      </x:c>
      <x:c r="C41" s="28" t="str">
        <x:v>供应商与评审人员利益关联</x:v>
      </x:c>
      <x:c r="D41" s="31" t="str">
        <x:v>SCENE-001</x:v>
      </x:c>
      <x:c r="E41" s="42" t="str">
        <x:v>待确认</x:v>
      </x:c>
      <x:c r="F41" s="28" t="str">
        <x:v>未绑定用户模式</x:v>
      </x:c>
      <x:c r="G41" s="31" t="str">
        <x:v>—</x:v>
      </x:c>
      <x:c r="H41" s="28" t="str">
        <x:v>未绑定用户模式</x:v>
      </x:c>
      <x:c r="I41" s="31" t="str">
        <x:v>RULE-002</x:v>
      </x:c>
      <x:c r="J41" s="28" t="str">
        <x:v>实际控制人与评审人员任职关联</x:v>
      </x:c>
      <x:c r="K41" s="31" t="str">
        <x:v>关系路径</x:v>
      </x:c>
      <x:c r="L41" s="31" t="str">
        <x:v>高</x:v>
      </x:c>
      <x:c r="M41" s="31" t="str">
        <x:v>已发布</x:v>
      </x:c>
      <x:c r="N41" s="31" t="str">
        <x:v>全部启用</x:v>
      </x:c>
      <x:c r="O41" s="31" t="str">
        <x:v>待确认</x:v>
      </x:c>
      <x:c r="P41" s="31" t="str">
        <x:v>既有系统规则</x:v>
      </x:c>
      <x:c r="Q41" s="28" t="str">
        <x:v>命中主体关联路径时生成风险预警并固化证据。</x:v>
      </x:c>
    </x:row>
    <x:row r="42" ht="36" customHeight="1">
      <x:c r="A42" s="31" t="n">
        <x:v>36</x:v>
      </x:c>
      <x:c r="B42" s="28" t="str">
        <x:v>采购</x:v>
      </x:c>
      <x:c r="C42" s="28" t="str">
        <x:v>集中采购拆分规避</x:v>
      </x:c>
      <x:c r="D42" s="31" t="str">
        <x:v>SCENE-003</x:v>
      </x:c>
      <x:c r="E42" s="42" t="str">
        <x:v>待确认</x:v>
      </x:c>
      <x:c r="F42" s="28" t="str">
        <x:v>未绑定用户模式</x:v>
      </x:c>
      <x:c r="G42" s="31" t="str">
        <x:v>—</x:v>
      </x:c>
      <x:c r="H42" s="28" t="str">
        <x:v>未绑定用户模式</x:v>
      </x:c>
      <x:c r="I42" s="31" t="str">
        <x:v>111</x:v>
      </x:c>
      <x:c r="J42" s="28" t="str">
        <x:v>111</x:v>
      </x:c>
      <x:c r="K42" s="31" t="str">
        <x:v>属性</x:v>
      </x:c>
      <x:c r="L42" s="31" t="str">
        <x:v>高</x:v>
      </x:c>
      <x:c r="M42" s="31" t="str">
        <x:v>草稿</x:v>
      </x:c>
      <x:c r="N42" s="31" t="str">
        <x:v>全部启用</x:v>
      </x:c>
      <x:c r="O42" s="31" t="str">
        <x:v>待确认</x:v>
      </x:c>
      <x:c r="P42" s="31" t="str">
        <x:v>既有系统规则</x:v>
      </x:c>
      <x:c r="Q42" s="28" t="str">
        <x:v>尚未生成规则摘要</x:v>
      </x:c>
    </x:row>
    <x:row r="43" ht="36" customHeight="1">
      <x:c r="A43" s="31" t="n">
        <x:v>37</x:v>
      </x:c>
      <x:c r="B43" s="28" t="str">
        <x:v>采购</x:v>
      </x:c>
      <x:c r="C43" s="28" t="str">
        <x:v>集中采购拆分规避</x:v>
      </x:c>
      <x:c r="D43" s="31" t="str">
        <x:v>SCENE-003</x:v>
      </x:c>
      <x:c r="E43" s="42" t="str">
        <x:v>待确认</x:v>
      </x:c>
      <x:c r="F43" s="28" t="str">
        <x:v>未绑定用户模式</x:v>
      </x:c>
      <x:c r="G43" s="31" t="str">
        <x:v>—</x:v>
      </x:c>
      <x:c r="H43" s="28" t="str">
        <x:v>未绑定用户模式</x:v>
      </x:c>
      <x:c r="I43" s="31" t="str">
        <x:v>RULE-005</x:v>
      </x:c>
      <x:c r="J43" s="28" t="str">
        <x:v>未命名规则</x:v>
      </x:c>
      <x:c r="K43" s="31" t="str">
        <x:v>属性</x:v>
      </x:c>
      <x:c r="L43" s="31" t="str">
        <x:v>中</x:v>
      </x:c>
      <x:c r="M43" s="31" t="str">
        <x:v>草稿</x:v>
      </x:c>
      <x:c r="N43" s="31" t="str">
        <x:v>全部启用</x:v>
      </x:c>
      <x:c r="O43" s="31" t="str">
        <x:v>待确认</x:v>
      </x:c>
      <x:c r="P43" s="31" t="str">
        <x:v>既有系统规则</x:v>
      </x:c>
      <x:c r="Q43" s="28" t="str">
        <x:v>尚未生成规则摘要</x:v>
      </x:c>
    </x:row>
    <x:row r="44" ht="36" customHeight="1">
      <x:c r="A44" s="31" t="n">
        <x:v>38</x:v>
      </x:c>
      <x:c r="B44" s="28" t="str">
        <x:v>采购</x:v>
      </x:c>
      <x:c r="C44" s="28" t="str">
        <x:v>围标串标</x:v>
      </x:c>
      <x:c r="D44" s="31" t="str">
        <x:v>SCENE-PROC-004</x:v>
      </x:c>
      <x:c r="E44" s="40" t="str">
        <x:v>事中</x:v>
      </x:c>
      <x:c r="F44" s="28" t="str">
        <x:v>未绑定用户模式</x:v>
      </x:c>
      <x:c r="G44" s="31" t="str">
        <x:v>—</x:v>
      </x:c>
      <x:c r="H44" s="28" t="str">
        <x:v>未绑定用户模式</x:v>
      </x:c>
      <x:c r="I44" s="31" t="str">
        <x:v>RULE-DEMO-006</x:v>
      </x:c>
      <x:c r="J44" s="28" t="str">
        <x:v>多家投标人受同一实际控制人控制</x:v>
      </x:c>
      <x:c r="K44" s="31" t="str">
        <x:v>关系路径</x:v>
      </x:c>
      <x:c r="L44" s="31" t="str">
        <x:v>重大</x:v>
      </x:c>
      <x:c r="M44" s="31" t="str">
        <x:v>已发布</x:v>
      </x:c>
      <x:c r="N44" s="31" t="str">
        <x:v>全部启用</x:v>
      </x:c>
      <x:c r="O44" s="31" t="str">
        <x:v>待确认</x:v>
      </x:c>
      <x:c r="P44" s="31" t="str">
        <x:v>既有系统规则</x:v>
      </x:c>
      <x:c r="Q44" s="28" t="str">
        <x:v>同一实际控制人关联多个投标主体。</x:v>
      </x:c>
    </x:row>
    <x:row r="45" ht="36" customHeight="1">
      <x:c r="A45" s="31" t="n">
        <x:v>39</x:v>
      </x:c>
      <x:c r="B45" s="28" t="str">
        <x:v>采购</x:v>
      </x:c>
      <x:c r="C45" s="28" t="str">
        <x:v>围标串标</x:v>
      </x:c>
      <x:c r="D45" s="31" t="str">
        <x:v>SCENE-PROC-004</x:v>
      </x:c>
      <x:c r="E45" s="40" t="str">
        <x:v>事中</x:v>
      </x:c>
      <x:c r="F45" s="28" t="str">
        <x:v>未绑定用户模式</x:v>
      </x:c>
      <x:c r="G45" s="31" t="str">
        <x:v>—</x:v>
      </x:c>
      <x:c r="H45" s="28" t="str">
        <x:v>未绑定用户模式</x:v>
      </x:c>
      <x:c r="I45" s="31" t="str">
        <x:v>RULE-DEMO-007</x:v>
      </x:c>
      <x:c r="J45" s="28" t="str">
        <x:v>投标保证金同源且报价呈等差排列</x:v>
      </x:c>
      <x:c r="K45" s="31" t="str">
        <x:v>聚合</x:v>
      </x:c>
      <x:c r="L45" s="31" t="str">
        <x:v>重大</x:v>
      </x:c>
      <x:c r="M45" s="31" t="str">
        <x:v>已发布</x:v>
      </x:c>
      <x:c r="N45" s="31" t="str">
        <x:v>全部启用</x:v>
      </x:c>
      <x:c r="O45" s="31" t="str">
        <x:v>待确认</x:v>
      </x:c>
      <x:c r="P45" s="31" t="str">
        <x:v>既有系统规则</x:v>
      </x:c>
      <x:c r="Q45" s="28" t="str">
        <x:v>多个投标保证金账户同源且报价差异低于0.5%。</x:v>
      </x:c>
    </x:row>
    <x:row r="46" ht="36" customHeight="1">
      <x:c r="A46" s="31" t="n">
        <x:v>40</x:v>
      </x:c>
      <x:c r="B46" s="28" t="str">
        <x:v>采购</x:v>
      </x:c>
      <x:c r="C46" s="28" t="str">
        <x:v>围标串标</x:v>
      </x:c>
      <x:c r="D46" s="31" t="str">
        <x:v>SCENE-BID-003</x:v>
      </x:c>
      <x:c r="E46" s="36" t="str">
        <x:v>事中/事后</x:v>
      </x:c>
      <x:c r="F46" s="28" t="str">
        <x:v>围串标识别</x:v>
      </x:c>
      <x:c r="G46" s="31" t="str">
        <x:v>B01</x:v>
      </x:c>
      <x:c r="H46" s="28" t="str">
        <x:v>串通投标风险</x:v>
      </x:c>
      <x:c r="I46" s="31" t="str">
        <x:v>RULE-B01-01</x:v>
      </x:c>
      <x:c r="J46" s="28" t="str">
        <x:v>投标网络地址或终端同源</x:v>
      </x:c>
      <x:c r="K46" s="31" t="str">
        <x:v>关系路径</x:v>
      </x:c>
      <x:c r="L46" s="31" t="str">
        <x:v>重大</x:v>
      </x:c>
      <x:c r="M46" s="31" t="str">
        <x:v>草稿</x:v>
      </x:c>
      <x:c r="N46" s="31" t="str">
        <x:v>全部禁用</x:v>
      </x:c>
      <x:c r="O46" s="31" t="str">
        <x:v>已实现</x:v>
      </x:c>
      <x:c r="P46" s="31" t="str">
        <x:v>用户提出</x:v>
      </x:c>
      <x:c r="Q46" s="28" t="str">
        <x:v>比对购买、下载和递交投标文件的IP、MAC及设备指纹。；判定条件：两家及以上投标人IP/MAC/设备指纹相同。</x:v>
      </x:c>
    </x:row>
    <x:row r="47" ht="36" customHeight="1">
      <x:c r="A47" s="31" t="n">
        <x:v>41</x:v>
      </x:c>
      <x:c r="B47" s="28" t="str">
        <x:v>采购</x:v>
      </x:c>
      <x:c r="C47" s="28" t="str">
        <x:v>围标串标</x:v>
      </x:c>
      <x:c r="D47" s="31" t="str">
        <x:v>SCENE-BID-003</x:v>
      </x:c>
      <x:c r="E47" s="36" t="str">
        <x:v>事中/事后</x:v>
      </x:c>
      <x:c r="F47" s="28" t="str">
        <x:v>围串标识别</x:v>
      </x:c>
      <x:c r="G47" s="31" t="str">
        <x:v>B01</x:v>
      </x:c>
      <x:c r="H47" s="28" t="str">
        <x:v>串通投标风险</x:v>
      </x:c>
      <x:c r="I47" s="31" t="str">
        <x:v>RULE-B01-02</x:v>
      </x:c>
      <x:c r="J47" s="28" t="str">
        <x:v>投标文件文本高度相似</x:v>
      </x:c>
      <x:c r="K47" s="31" t="str">
        <x:v>属性</x:v>
      </x:c>
      <x:c r="L47" s="31" t="str">
        <x:v>重大</x:v>
      </x:c>
      <x:c r="M47" s="31" t="str">
        <x:v>草稿</x:v>
      </x:c>
      <x:c r="N47" s="31" t="str">
        <x:v>全部禁用</x:v>
      </x:c>
      <x:c r="O47" s="31" t="str">
        <x:v>已实现</x:v>
      </x:c>
      <x:c r="P47" s="31" t="str">
        <x:v>用户提出</x:v>
      </x:c>
      <x:c r="Q47" s="28" t="str">
        <x:v>比对技术、商务和价格文件的段落、表格及错别字特征。；判定条件：综合文本相似度≥85%。</x:v>
      </x:c>
    </x:row>
    <x:row r="48" ht="36" customHeight="1">
      <x:c r="A48" s="31" t="n">
        <x:v>42</x:v>
      </x:c>
      <x:c r="B48" s="28" t="str">
        <x:v>采购</x:v>
      </x:c>
      <x:c r="C48" s="28" t="str">
        <x:v>围标串标</x:v>
      </x:c>
      <x:c r="D48" s="31" t="str">
        <x:v>SCENE-BID-003</x:v>
      </x:c>
      <x:c r="E48" s="36" t="str">
        <x:v>事中/事后</x:v>
      </x:c>
      <x:c r="F48" s="28" t="str">
        <x:v>围串标识别</x:v>
      </x:c>
      <x:c r="G48" s="31" t="str">
        <x:v>B01</x:v>
      </x:c>
      <x:c r="H48" s="28" t="str">
        <x:v>串通投标风险</x:v>
      </x:c>
      <x:c r="I48" s="31" t="str">
        <x:v>RULE-B01-03</x:v>
      </x:c>
      <x:c r="J48" s="28" t="str">
        <x:v>投标文件制作元数据同源</x:v>
      </x:c>
      <x:c r="K48" s="31" t="str">
        <x:v>属性</x:v>
      </x:c>
      <x:c r="L48" s="31" t="str">
        <x:v>高</x:v>
      </x:c>
      <x:c r="M48" s="31" t="str">
        <x:v>草稿</x:v>
      </x:c>
      <x:c r="N48" s="31" t="str">
        <x:v>全部禁用</x:v>
      </x:c>
      <x:c r="O48" s="31" t="str">
        <x:v>已实现</x:v>
      </x:c>
      <x:c r="P48" s="31" t="str">
        <x:v>用户提出</x:v>
      </x:c>
      <x:c r="Q48" s="28" t="str">
        <x:v>比对文件作者、创建软件、设备、模板哈希和修改时间。；判定条件：至少2项高置信元数据相同。</x:v>
      </x:c>
    </x:row>
    <x:row r="49" ht="36" customHeight="1">
      <x:c r="A49" s="31" t="n">
        <x:v>43</x:v>
      </x:c>
      <x:c r="B49" s="28" t="str">
        <x:v>采购</x:v>
      </x:c>
      <x:c r="C49" s="28" t="str">
        <x:v>围标串标</x:v>
      </x:c>
      <x:c r="D49" s="31" t="str">
        <x:v>SCENE-BID-003</x:v>
      </x:c>
      <x:c r="E49" s="36" t="str">
        <x:v>事前/事中/事后</x:v>
      </x:c>
      <x:c r="F49" s="28" t="str">
        <x:v>围串标识别</x:v>
      </x:c>
      <x:c r="G49" s="31" t="str">
        <x:v>B02</x:v>
      </x:c>
      <x:c r="H49" s="28" t="str">
        <x:v>投标人之间存在关联关系</x:v>
      </x:c>
      <x:c r="I49" s="31" t="str">
        <x:v>RULE-B02-03</x:v>
      </x:c>
      <x:c r="J49" s="28" t="str">
        <x:v>投标人高管人员重合</x:v>
      </x:c>
      <x:c r="K49" s="31" t="str">
        <x:v>关系路径</x:v>
      </x:c>
      <x:c r="L49" s="31" t="str">
        <x:v>高</x:v>
      </x:c>
      <x:c r="M49" s="31" t="str">
        <x:v>草稿</x:v>
      </x:c>
      <x:c r="N49" s="31" t="str">
        <x:v>全部禁用</x:v>
      </x:c>
      <x:c r="O49" s="31" t="str">
        <x:v>部分实现</x:v>
      </x:c>
      <x:c r="P49" s="31" t="str">
        <x:v>用户提出</x:v>
      </x:c>
      <x:c r="Q49" s="28" t="str">
        <x:v>识别法定代表人、董监高及关键人员重合。；判定条件：重合人员数≥1。</x:v>
      </x:c>
    </x:row>
    <x:row r="50" ht="36" customHeight="1">
      <x:c r="A50" s="31" t="n">
        <x:v>44</x:v>
      </x:c>
      <x:c r="B50" s="28" t="str">
        <x:v>采购</x:v>
      </x:c>
      <x:c r="C50" s="28" t="str">
        <x:v>围标串标</x:v>
      </x:c>
      <x:c r="D50" s="31" t="str">
        <x:v>SCENE-BID-003</x:v>
      </x:c>
      <x:c r="E50" s="36" t="str">
        <x:v>事前/事中/事后</x:v>
      </x:c>
      <x:c r="F50" s="28" t="str">
        <x:v>围串标识别</x:v>
      </x:c>
      <x:c r="G50" s="31" t="str">
        <x:v>B02</x:v>
      </x:c>
      <x:c r="H50" s="28" t="str">
        <x:v>投标人之间存在关联关系</x:v>
      </x:c>
      <x:c r="I50" s="31" t="str">
        <x:v>RULE-B02-04</x:v>
      </x:c>
      <x:c r="J50" s="28" t="str">
        <x:v>投标人联系方式或地址重合</x:v>
      </x:c>
      <x:c r="K50" s="31" t="str">
        <x:v>字段比对</x:v>
      </x:c>
      <x:c r="L50" s="31" t="str">
        <x:v>高</x:v>
      </x:c>
      <x:c r="M50" s="31" t="str">
        <x:v>草稿</x:v>
      </x:c>
      <x:c r="N50" s="31" t="str">
        <x:v>全部禁用</x:v>
      </x:c>
      <x:c r="O50" s="31" t="str">
        <x:v>部分实现</x:v>
      </x:c>
      <x:c r="P50" s="31" t="str">
        <x:v>用户提出</x:v>
      </x:c>
      <x:c r="Q50" s="28" t="str">
        <x:v>比对联系人、手机、邮箱和办公地址。；判定条件：任一高置信字段重合。</x:v>
      </x:c>
    </x:row>
    <x:row r="51" ht="36" customHeight="1">
      <x:c r="A51" s="31" t="n">
        <x:v>45</x:v>
      </x:c>
      <x:c r="B51" s="28" t="str">
        <x:v>采购</x:v>
      </x:c>
      <x:c r="C51" s="28" t="str">
        <x:v>围标串标</x:v>
      </x:c>
      <x:c r="D51" s="31" t="str">
        <x:v>SCENE-BID-003</x:v>
      </x:c>
      <x:c r="E51" s="36" t="str">
        <x:v>事前/事中/事后</x:v>
      </x:c>
      <x:c r="F51" s="28" t="str">
        <x:v>围串标识别</x:v>
      </x:c>
      <x:c r="G51" s="31" t="str">
        <x:v>B02</x:v>
      </x:c>
      <x:c r="H51" s="28" t="str">
        <x:v>投标人之间存在关联关系</x:v>
      </x:c>
      <x:c r="I51" s="31" t="str">
        <x:v>RULE-B02-05</x:v>
      </x:c>
      <x:c r="J51" s="28" t="str">
        <x:v>多家投标人受同一实际控制人控制</x:v>
      </x:c>
      <x:c r="K51" s="31" t="str">
        <x:v>关系路径</x:v>
      </x:c>
      <x:c r="L51" s="31" t="str">
        <x:v>重大</x:v>
      </x:c>
      <x:c r="M51" s="31" t="str">
        <x:v>草稿</x:v>
      </x:c>
      <x:c r="N51" s="31" t="str">
        <x:v>全部禁用</x:v>
      </x:c>
      <x:c r="O51" s="31" t="str">
        <x:v>部分实现</x:v>
      </x:c>
      <x:c r="P51" s="31" t="str">
        <x:v>用户提出</x:v>
      </x:c>
      <x:c r="Q51" s="28" t="str">
        <x:v>识别多个投标主体指向同一实际控制人的控制路径。；判定条件：共同实际控制人数量≥1。</x:v>
      </x:c>
    </x:row>
    <x:row r="52" ht="36" customHeight="1">
      <x:c r="A52" s="31" t="n">
        <x:v>46</x:v>
      </x:c>
      <x:c r="B52" s="28" t="str">
        <x:v>采购</x:v>
      </x:c>
      <x:c r="C52" s="28" t="str">
        <x:v>围标串标</x:v>
      </x:c>
      <x:c r="D52" s="31" t="str">
        <x:v>SCENE-BID-003</x:v>
      </x:c>
      <x:c r="E52" s="36" t="str">
        <x:v>事前/事中/事后</x:v>
      </x:c>
      <x:c r="F52" s="28" t="str">
        <x:v>围串标识别
贸易背景异常识别</x:v>
      </x:c>
      <x:c r="G52" s="31" t="str">
        <x:v>B02
102</x:v>
      </x:c>
      <x:c r="H52" s="28" t="str">
        <x:v>投标人之间存在关联关系
投标比价单位交叉持股关联检测</x:v>
      </x:c>
      <x:c r="I52" s="31" t="str">
        <x:v>RULE-B02-01</x:v>
      </x:c>
      <x:c r="J52" s="28" t="str">
        <x:v>投标人具有相同股东</x:v>
      </x:c>
      <x:c r="K52" s="31" t="str">
        <x:v>关系路径</x:v>
      </x:c>
      <x:c r="L52" s="31" t="str">
        <x:v>重大</x:v>
      </x:c>
      <x:c r="M52" s="31" t="str">
        <x:v>草稿</x:v>
      </x:c>
      <x:c r="N52" s="31" t="str">
        <x:v>全部禁用</x:v>
      </x:c>
      <x:c r="O52" s="31" t="str">
        <x:v>部分实现</x:v>
      </x:c>
      <x:c r="P52" s="31" t="str">
        <x:v>用户提出</x:v>
      </x:c>
      <x:c r="Q52" s="28" t="str">
        <x:v>穿透识别两个或以上投标主体的共同股东。；判定条件：共同股东人数≥1。</x:v>
      </x:c>
    </x:row>
    <x:row r="53" ht="36" customHeight="1">
      <x:c r="A53" s="31" t="n">
        <x:v>47</x:v>
      </x:c>
      <x:c r="B53" s="28" t="str">
        <x:v>采购</x:v>
      </x:c>
      <x:c r="C53" s="28" t="str">
        <x:v>围标串标</x:v>
      </x:c>
      <x:c r="D53" s="31" t="str">
        <x:v>SCENE-BID-003</x:v>
      </x:c>
      <x:c r="E53" s="36" t="str">
        <x:v>事前/事中/事后</x:v>
      </x:c>
      <x:c r="F53" s="28" t="str">
        <x:v>围串标识别
贸易背景异常识别</x:v>
      </x:c>
      <x:c r="G53" s="31" t="str">
        <x:v>B02
102</x:v>
      </x:c>
      <x:c r="H53" s="28" t="str">
        <x:v>投标人之间存在关联关系
投标比价单位交叉持股关联检测</x:v>
      </x:c>
      <x:c r="I53" s="31" t="str">
        <x:v>RULE-B02-02</x:v>
      </x:c>
      <x:c r="J53" s="28" t="str">
        <x:v>投标人存在投资或交叉持股</x:v>
      </x:c>
      <x:c r="K53" s="31" t="str">
        <x:v>关系路径</x:v>
      </x:c>
      <x:c r="L53" s="31" t="str">
        <x:v>重大</x:v>
      </x:c>
      <x:c r="M53" s="31" t="str">
        <x:v>草稿</x:v>
      </x:c>
      <x:c r="N53" s="31" t="str">
        <x:v>全部禁用</x:v>
      </x:c>
      <x:c r="O53" s="31" t="str">
        <x:v>部分实现</x:v>
      </x:c>
      <x:c r="P53" s="31" t="str">
        <x:v>用户提出</x:v>
      </x:c>
      <x:c r="Q53" s="28" t="str">
        <x:v>识别投标主体间直接、间接投资或交叉持股。；判定条件：投资关联路径≤3跳。</x:v>
      </x:c>
    </x:row>
    <x:row r="54" ht="36" customHeight="1">
      <x:c r="A54" s="31" t="n">
        <x:v>48</x:v>
      </x:c>
      <x:c r="B54" s="28" t="str">
        <x:v>采购</x:v>
      </x:c>
      <x:c r="C54" s="28" t="str">
        <x:v>围标串标</x:v>
      </x:c>
      <x:c r="D54" s="31" t="str">
        <x:v>SCENE-BID-003</x:v>
      </x:c>
      <x:c r="E54" s="36" t="str">
        <x:v>事中/事后</x:v>
      </x:c>
      <x:c r="F54" s="28" t="str">
        <x:v>围串标识别</x:v>
      </x:c>
      <x:c r="G54" s="31" t="str">
        <x:v>B03</x:v>
      </x:c>
      <x:c r="H54" s="28" t="str">
        <x:v>组团投标</x:v>
      </x:c>
      <x:c r="I54" s="31" t="str">
        <x:v>RULE-B03-01</x:v>
      </x:c>
      <x:c r="J54" s="28" t="str">
        <x:v>固定供应商共同投标达到三次</x:v>
      </x:c>
      <x:c r="K54" s="31" t="str">
        <x:v>聚合</x:v>
      </x:c>
      <x:c r="L54" s="31" t="str">
        <x:v>高</x:v>
      </x:c>
      <x:c r="M54" s="31" t="str">
        <x:v>草稿</x:v>
      </x:c>
      <x:c r="N54" s="31" t="str">
        <x:v>全部禁用</x:v>
      </x:c>
      <x:c r="O54" s="31" t="str">
        <x:v>待建设</x:v>
      </x:c>
      <x:c r="P54" s="31" t="str">
        <x:v>用户提出</x:v>
      </x:c>
      <x:c r="Q54" s="28" t="str">
        <x:v>统计12个月内供应商组合共同参与标段的次数。；判定条件：共同投标次数≥3。</x:v>
      </x:c>
    </x:row>
    <x:row r="55" ht="36" customHeight="1">
      <x:c r="A55" s="31" t="n">
        <x:v>49</x:v>
      </x:c>
      <x:c r="B55" s="28" t="str">
        <x:v>采购</x:v>
      </x:c>
      <x:c r="C55" s="28" t="str">
        <x:v>围标串标</x:v>
      </x:c>
      <x:c r="D55" s="31" t="str">
        <x:v>SCENE-BID-003</x:v>
      </x:c>
      <x:c r="E55" s="36" t="str">
        <x:v>事中/事后</x:v>
      </x:c>
      <x:c r="F55" s="28" t="str">
        <x:v>围串标识别</x:v>
      </x:c>
      <x:c r="G55" s="31" t="str">
        <x:v>B03</x:v>
      </x:c>
      <x:c r="H55" s="28" t="str">
        <x:v>组团投标</x:v>
      </x:c>
      <x:c r="I55" s="31" t="str">
        <x:v>RULE-B03-02</x:v>
      </x:c>
      <x:c r="J55" s="28" t="str">
        <x:v>关联供应商群组累计共同投标</x:v>
      </x:c>
      <x:c r="K55" s="31" t="str">
        <x:v>聚合</x:v>
      </x:c>
      <x:c r="L55" s="31" t="str">
        <x:v>重大</x:v>
      </x:c>
      <x:c r="M55" s="31" t="str">
        <x:v>草稿</x:v>
      </x:c>
      <x:c r="N55" s="31" t="str">
        <x:v>全部禁用</x:v>
      </x:c>
      <x:c r="O55" s="31" t="str">
        <x:v>待建设</x:v>
      </x:c>
      <x:c r="P55" s="31" t="str">
        <x:v>用户提出</x:v>
      </x:c>
      <x:c r="Q55" s="28" t="str">
        <x:v>合并供应商关联群组后统计共同投标次数。；判定条件：关联群组共同投标次数≥3。</x:v>
      </x:c>
    </x:row>
    <x:row r="56" ht="36" customHeight="1">
      <x:c r="A56" s="31" t="n">
        <x:v>50</x:v>
      </x:c>
      <x:c r="B56" s="28" t="str">
        <x:v>采购</x:v>
      </x:c>
      <x:c r="C56" s="28" t="str">
        <x:v>围标串标</x:v>
      </x:c>
      <x:c r="D56" s="31" t="str">
        <x:v>SCENE-BID-003</x:v>
      </x:c>
      <x:c r="E56" s="36" t="str">
        <x:v>事中/事后</x:v>
      </x:c>
      <x:c r="F56" s="28" t="str">
        <x:v>围串标识别</x:v>
      </x:c>
      <x:c r="G56" s="31" t="str">
        <x:v>B03</x:v>
      </x:c>
      <x:c r="H56" s="28" t="str">
        <x:v>组团投标</x:v>
      </x:c>
      <x:c r="I56" s="31" t="str">
        <x:v>RULE-B03-03</x:v>
      </x:c>
      <x:c r="J56" s="28" t="str">
        <x:v>陪标单位规律性废标</x:v>
      </x:c>
      <x:c r="K56" s="31" t="str">
        <x:v>聚合</x:v>
      </x:c>
      <x:c r="L56" s="31" t="str">
        <x:v>高</x:v>
      </x:c>
      <x:c r="M56" s="31" t="str">
        <x:v>草稿</x:v>
      </x:c>
      <x:c r="N56" s="31" t="str">
        <x:v>全部禁用</x:v>
      </x:c>
      <x:c r="O56" s="31" t="str">
        <x:v>待建设</x:v>
      </x:c>
      <x:c r="P56" s="31" t="str">
        <x:v>用户提出</x:v>
      </x:c>
      <x:c r="Q56" s="28" t="str">
        <x:v>识别共同投标中长期因低级形式问题废标且从未中标的主体。；判定条件：12个月共同投标≥3且异常废标≥2。</x:v>
      </x:c>
    </x:row>
    <x:row r="57" ht="36" customHeight="1">
      <x:c r="A57" s="31" t="n">
        <x:v>51</x:v>
      </x:c>
      <x:c r="B57" s="28" t="str">
        <x:v>采购</x:v>
      </x:c>
      <x:c r="C57" s="28" t="str">
        <x:v>围标串标</x:v>
      </x:c>
      <x:c r="D57" s="31" t="str">
        <x:v>SCENE-BID-003</x:v>
      </x:c>
      <x:c r="E57" s="36" t="str">
        <x:v>事中/事后</x:v>
      </x:c>
      <x:c r="F57" s="28" t="str">
        <x:v>围串标补充</x:v>
      </x:c>
      <x:c r="G57" s="31" t="str">
        <x:v>B04</x:v>
      </x:c>
      <x:c r="H57" s="28" t="str">
        <x:v>关联供应商轮流中标</x:v>
      </x:c>
      <x:c r="I57" s="31" t="str">
        <x:v>RULE-B04-01</x:v>
      </x:c>
      <x:c r="J57" s="28" t="str">
        <x:v>关联供应商轮流中标</x:v>
      </x:c>
      <x:c r="K57" s="31" t="str">
        <x:v>聚合</x:v>
      </x:c>
      <x:c r="L57" s="31" t="str">
        <x:v>重大</x:v>
      </x:c>
      <x:c r="M57" s="31" t="str">
        <x:v>草稿</x:v>
      </x:c>
      <x:c r="N57" s="31" t="str">
        <x:v>全部禁用</x:v>
      </x:c>
      <x:c r="O57" s="31" t="str">
        <x:v>待建设</x:v>
      </x:c>
      <x:c r="P57" s="31" t="str">
        <x:v>融合补充</x:v>
      </x:c>
      <x:c r="Q57" s="28" t="str">
        <x:v>固定关联供应商群组在多个同类项目中轮流中标且报价排序稳定。；判定条件：12个月项目数≥3且轮换规律置信度≥阈值。</x:v>
      </x:c>
    </x:row>
    <x:row r="58" ht="36" customHeight="1">
      <x:c r="A58" s="31" t="n">
        <x:v>52</x:v>
      </x:c>
      <x:c r="B58" s="28" t="str">
        <x:v>采购</x:v>
      </x:c>
      <x:c r="C58" s="28" t="str">
        <x:v>围标串标</x:v>
      </x:c>
      <x:c r="D58" s="31" t="str">
        <x:v>SCENE-BID-003</x:v>
      </x:c>
      <x:c r="E58" s="36" t="str">
        <x:v>事中/事后</x:v>
      </x:c>
      <x:c r="F58" s="28" t="str">
        <x:v>围串标补充</x:v>
      </x:c>
      <x:c r="G58" s="31" t="str">
        <x:v>B05</x:v>
      </x:c>
      <x:c r="H58" s="28" t="str">
        <x:v>保证金同源与报价规律异常</x:v>
      </x:c>
      <x:c r="I58" s="31" t="str">
        <x:v>RULE-B05-01</x:v>
      </x:c>
      <x:c r="J58" s="28" t="str">
        <x:v>投标保证金同源且报价呈规律排列</x:v>
      </x:c>
      <x:c r="K58" s="31" t="str">
        <x:v>聚合</x:v>
      </x:c>
      <x:c r="L58" s="31" t="str">
        <x:v>重大</x:v>
      </x:c>
      <x:c r="M58" s="31" t="str">
        <x:v>草稿</x:v>
      </x:c>
      <x:c r="N58" s="31" t="str">
        <x:v>全部禁用</x:v>
      </x:c>
      <x:c r="O58" s="31" t="str">
        <x:v>已实现</x:v>
      </x:c>
      <x:c r="P58" s="31" t="str">
        <x:v>融合补充</x:v>
      </x:c>
      <x:c r="Q58" s="28" t="str">
        <x:v>多个投标保证金来自同一账户，同时报价呈等差或稳定梯度。；判定条件：保证金来源同一且报价规律置信度≥阈值。</x:v>
      </x:c>
    </x:row>
    <x:row r="59" ht="36" customHeight="1">
      <x:c r="A59" s="31" t="n">
        <x:v>53</x:v>
      </x:c>
      <x:c r="B59" s="28" t="str">
        <x:v>采购</x:v>
      </x:c>
      <x:c r="C59" s="28" t="str">
        <x:v>未绑定场景</x:v>
      </x:c>
      <x:c r="D59" s="31" t="str">
        <x:v>—</x:v>
      </x:c>
      <x:c r="E59" s="42" t="str">
        <x:v>待确认</x:v>
      </x:c>
      <x:c r="F59" s="28" t="str">
        <x:v>未绑定用户模式</x:v>
      </x:c>
      <x:c r="G59" s="31" t="str">
        <x:v>—</x:v>
      </x:c>
      <x:c r="H59" s="28" t="str">
        <x:v>未绑定用户模式</x:v>
      </x:c>
      <x:c r="I59" s="31" t="str">
        <x:v>RULE-004</x:v>
      </x:c>
      <x:c r="J59" s="28" t="str">
        <x:v>111</x:v>
      </x:c>
      <x:c r="K59" s="31" t="str">
        <x:v>属性</x:v>
      </x:c>
      <x:c r="L59" s="31" t="str">
        <x:v>高</x:v>
      </x:c>
      <x:c r="M59" s="31" t="str">
        <x:v>草稿</x:v>
      </x:c>
      <x:c r="N59" s="31" t="str">
        <x:v>未绑定</x:v>
      </x:c>
      <x:c r="O59" s="31" t="str">
        <x:v>待确认</x:v>
      </x:c>
      <x:c r="P59" s="31" t="str">
        <x:v>既有系统规则</x:v>
      </x:c>
      <x:c r="Q59" s="28" t="str">
        <x:v>尚未生成规则摘要</x:v>
      </x:c>
    </x:row>
    <x:row r="60" ht="36" customHeight="1">
      <x:c r="A60" s="31" t="n">
        <x:v>54</x:v>
      </x:c>
      <x:c r="B60" s="28" t="str">
        <x:v>采购</x:v>
      </x:c>
      <x:c r="C60" s="28" t="str">
        <x:v>虚假招标</x:v>
      </x:c>
      <x:c r="D60" s="31" t="str">
        <x:v>SCENE-PROC-003</x:v>
      </x:c>
      <x:c r="E60" s="40" t="str">
        <x:v>事中</x:v>
      </x:c>
      <x:c r="F60" s="28" t="str">
        <x:v>未绑定用户模式</x:v>
      </x:c>
      <x:c r="G60" s="31" t="str">
        <x:v>—</x:v>
      </x:c>
      <x:c r="H60" s="28" t="str">
        <x:v>未绑定用户模式</x:v>
      </x:c>
      <x:c r="I60" s="31" t="str">
        <x:v>RULE-DEMO-004</x:v>
      </x:c>
      <x:c r="J60" s="28" t="str">
        <x:v>三家及以上投标共用IP或设备</x:v>
      </x:c>
      <x:c r="K60" s="31" t="str">
        <x:v>关系路径</x:v>
      </x:c>
      <x:c r="L60" s="31" t="str">
        <x:v>重大</x:v>
      </x:c>
      <x:c r="M60" s="31" t="str">
        <x:v>已发布</x:v>
      </x:c>
      <x:c r="N60" s="31" t="str">
        <x:v>全部启用</x:v>
      </x:c>
      <x:c r="O60" s="31" t="str">
        <x:v>待确认</x:v>
      </x:c>
      <x:c r="P60" s="31" t="str">
        <x:v>既有系统规则</x:v>
      </x:c>
      <x:c r="Q60" s="28" t="str">
        <x:v>三家投标文件同源且提交时间高度集中。</x:v>
      </x:c>
    </x:row>
    <x:row r="61" ht="36" customHeight="1">
      <x:c r="A61" s="31" t="n">
        <x:v>55</x:v>
      </x:c>
      <x:c r="B61" s="28" t="str">
        <x:v>采购</x:v>
      </x:c>
      <x:c r="C61" s="28" t="str">
        <x:v>虚假招标</x:v>
      </x:c>
      <x:c r="D61" s="31" t="str">
        <x:v>SCENE-PROC-003</x:v>
      </x:c>
      <x:c r="E61" s="40" t="str">
        <x:v>事中</x:v>
      </x:c>
      <x:c r="F61" s="28" t="str">
        <x:v>未绑定用户模式</x:v>
      </x:c>
      <x:c r="G61" s="31" t="str">
        <x:v>—</x:v>
      </x:c>
      <x:c r="H61" s="28" t="str">
        <x:v>未绑定用户模式</x:v>
      </x:c>
      <x:c r="I61" s="31" t="str">
        <x:v>RULE-DEMO-005</x:v>
      </x:c>
      <x:c r="J61" s="28" t="str">
        <x:v>投标文件高度相似且存在壳企业</x:v>
      </x:c>
      <x:c r="K61" s="31" t="str">
        <x:v>聚合</x:v>
      </x:c>
      <x:c r="L61" s="31" t="str">
        <x:v>重大</x:v>
      </x:c>
      <x:c r="M61" s="31" t="str">
        <x:v>已发布</x:v>
      </x:c>
      <x:c r="N61" s="31" t="str">
        <x:v>全部启用</x:v>
      </x:c>
      <x:c r="O61" s="31" t="str">
        <x:v>待确认</x:v>
      </x:c>
      <x:c r="P61" s="31" t="str">
        <x:v>既有系统规则</x:v>
      </x:c>
      <x:c r="Q61" s="28" t="str">
        <x:v>投标文件相似度高且至少两家主体员工规模异常。</x:v>
      </x:c>
    </x:row>
    <x:row r="62" ht="36" customHeight="1">
      <x:c r="A62" s="31" t="n">
        <x:v>56</x:v>
      </x:c>
      <x:c r="B62" s="28" t="str">
        <x:v>采购</x:v>
      </x:c>
      <x:c r="C62" s="28" t="str">
        <x:v>虚假招标</x:v>
      </x:c>
      <x:c r="D62" s="31" t="str">
        <x:v>SCENE-ZB-002</x:v>
      </x:c>
      <x:c r="E62" s="40" t="str">
        <x:v>事前/事中</x:v>
      </x:c>
      <x:c r="F62" s="28" t="str">
        <x:v>虚假招标补充</x:v>
      </x:c>
      <x:c r="G62" s="31" t="str">
        <x:v>ZB01</x:v>
      </x:c>
      <x:c r="H62" s="28" t="str">
        <x:v>虚假招标综合检测</x:v>
      </x:c>
      <x:c r="I62" s="31" t="str">
        <x:v>RULE-ZB01-01</x:v>
      </x:c>
      <x:c r="J62" s="28" t="str">
        <x:v>中标供应商提前参与项目</x:v>
      </x:c>
      <x:c r="K62" s="31" t="str">
        <x:v>时序</x:v>
      </x:c>
      <x:c r="L62" s="31" t="str">
        <x:v>重大</x:v>
      </x:c>
      <x:c r="M62" s="31" t="str">
        <x:v>草稿</x:v>
      </x:c>
      <x:c r="N62" s="31" t="str">
        <x:v>全部禁用</x:v>
      </x:c>
      <x:c r="O62" s="31" t="str">
        <x:v>待建设</x:v>
      </x:c>
      <x:c r="P62" s="31" t="str">
        <x:v>融合补充</x:v>
      </x:c>
      <x:c r="Q62" s="28" t="str">
        <x:v>招标前出现最终中标供应商进场、测试账号、工作记录或合同草稿。；判定条件：前置参与事件早于公告或投标截止时间。</x:v>
      </x:c>
    </x:row>
    <x:row r="63" ht="36" customHeight="1">
      <x:c r="A63" s="31" t="n">
        <x:v>57</x:v>
      </x:c>
      <x:c r="B63" s="28" t="str">
        <x:v>采购</x:v>
      </x:c>
      <x:c r="C63" s="28" t="str">
        <x:v>虚假招标</x:v>
      </x:c>
      <x:c r="D63" s="31" t="str">
        <x:v>SCENE-ZB-002</x:v>
      </x:c>
      <x:c r="E63" s="40" t="str">
        <x:v>事前/事中</x:v>
      </x:c>
      <x:c r="F63" s="28" t="str">
        <x:v>虚假招标补充</x:v>
      </x:c>
      <x:c r="G63" s="31" t="str">
        <x:v>ZB01</x:v>
      </x:c>
      <x:c r="H63" s="28" t="str">
        <x:v>虚假招标综合检测</x:v>
      </x:c>
      <x:c r="I63" s="31" t="str">
        <x:v>RULE-ZB01-02</x:v>
      </x:c>
      <x:c r="J63" s="28" t="str">
        <x:v>招标参数疑似定向设置</x:v>
      </x:c>
      <x:c r="K63" s="31" t="str">
        <x:v>属性</x:v>
      </x:c>
      <x:c r="L63" s="31" t="str">
        <x:v>高</x:v>
      </x:c>
      <x:c r="M63" s="31" t="str">
        <x:v>草稿</x:v>
      </x:c>
      <x:c r="N63" s="31" t="str">
        <x:v>全部禁用</x:v>
      </x:c>
      <x:c r="O63" s="31" t="str">
        <x:v>待建设</x:v>
      </x:c>
      <x:c r="P63" s="31" t="str">
        <x:v>融合补充</x:v>
      </x:c>
      <x:c r="Q63" s="28" t="str">
        <x:v>关键技术参数仅一家供应商满足或指定品牌型号且不允许同等替代。；判定条件：唯一供应商匹配率≥80%或存在排他性表述。</x:v>
      </x:c>
    </x:row>
    <x:row r="64" ht="36" customHeight="1">
      <x:c r="A64" s="31" t="n">
        <x:v>58</x:v>
      </x:c>
      <x:c r="B64" s="28" t="str">
        <x:v>采购/供应链</x:v>
      </x:c>
      <x:c r="C64" s="28" t="str">
        <x:v>供应商及交易对手风险</x:v>
      </x:c>
      <x:c r="D64" s="31" t="str">
        <x:v>SCENE-CP-005</x:v>
      </x:c>
      <x:c r="E64" s="38" t="str">
        <x:v>事前</x:v>
      </x:c>
      <x:c r="F64" s="28" t="str">
        <x:v>贸易背景异常识别</x:v>
      </x:c>
      <x:c r="G64" s="31" t="str">
        <x:v>104</x:v>
      </x:c>
      <x:c r="H64" s="28" t="str">
        <x:v>供应商法定代表人关联检测</x:v>
      </x:c>
      <x:c r="I64" s="31" t="str">
        <x:v>RULE-104-01</x:v>
      </x:c>
      <x:c r="J64" s="28" t="str">
        <x:v>供应商法定代表人关联检测</x:v>
      </x:c>
      <x:c r="K64" s="31" t="str">
        <x:v>关系路径</x:v>
      </x:c>
      <x:c r="L64" s="31" t="str">
        <x:v>重大</x:v>
      </x:c>
      <x:c r="M64" s="31" t="str">
        <x:v>草稿</x:v>
      </x:c>
      <x:c r="N64" s="31" t="str">
        <x:v>全部禁用</x:v>
      </x:c>
      <x:c r="O64" s="31" t="str">
        <x:v>待接外部数据</x:v>
      </x:c>
      <x:c r="P64" s="31" t="str">
        <x:v>用户提出</x:v>
      </x:c>
      <x:c r="Q64" s="28" t="str">
        <x:v>供应商法定代表人与甲方采购、评审或管理人员存在关联。；判定条件：关联图谱路径≤2跳。</x:v>
      </x:c>
    </x:row>
    <x:row r="65" ht="36" customHeight="1">
      <x:c r="A65" s="31" t="n">
        <x:v>59</x:v>
      </x:c>
      <x:c r="B65" s="28" t="str">
        <x:v>采购/供应链</x:v>
      </x:c>
      <x:c r="C65" s="28" t="str">
        <x:v>供应商及交易对手风险</x:v>
      </x:c>
      <x:c r="D65" s="31" t="str">
        <x:v>SCENE-CP-005</x:v>
      </x:c>
      <x:c r="E65" s="38" t="str">
        <x:v>事前</x:v>
      </x:c>
      <x:c r="F65" s="28" t="str">
        <x:v>贸易背景异常识别</x:v>
      </x:c>
      <x:c r="G65" s="31" t="str">
        <x:v>105</x:v>
      </x:c>
      <x:c r="H65" s="28" t="str">
        <x:v>供应商自然人股东关联检测</x:v>
      </x:c>
      <x:c r="I65" s="31" t="str">
        <x:v>RULE-105-01</x:v>
      </x:c>
      <x:c r="J65" s="28" t="str">
        <x:v>供应商自然人股东关联检测</x:v>
      </x:c>
      <x:c r="K65" s="31" t="str">
        <x:v>关系路径</x:v>
      </x:c>
      <x:c r="L65" s="31" t="str">
        <x:v>重大</x:v>
      </x:c>
      <x:c r="M65" s="31" t="str">
        <x:v>草稿</x:v>
      </x:c>
      <x:c r="N65" s="31" t="str">
        <x:v>全部禁用</x:v>
      </x:c>
      <x:c r="O65" s="31" t="str">
        <x:v>待接外部数据</x:v>
      </x:c>
      <x:c r="P65" s="31" t="str">
        <x:v>用户提出</x:v>
      </x:c>
      <x:c r="Q65" s="28" t="str">
        <x:v>股权穿透后供应商自然人股东与甲方人员存在利益关联。；判定条件：股权穿透后关联路径≤3跳。</x:v>
      </x:c>
    </x:row>
    <x:row r="66" ht="36" customHeight="1">
      <x:c r="A66" s="31" t="n">
        <x:v>60</x:v>
      </x:c>
      <x:c r="B66" s="28" t="str">
        <x:v>采购/供应链</x:v>
      </x:c>
      <x:c r="C66" s="28" t="str">
        <x:v>供应商及交易对手风险</x:v>
      </x:c>
      <x:c r="D66" s="31" t="str">
        <x:v>SCENE-CP-005</x:v>
      </x:c>
      <x:c r="E66" s="38" t="str">
        <x:v>事前</x:v>
      </x:c>
      <x:c r="F66" s="28" t="str">
        <x:v>贸易背景异常识别</x:v>
      </x:c>
      <x:c r="G66" s="31" t="str">
        <x:v>106</x:v>
      </x:c>
      <x:c r="H66" s="28" t="str">
        <x:v>供应商高管人员关联检测</x:v>
      </x:c>
      <x:c r="I66" s="31" t="str">
        <x:v>RULE-106-01</x:v>
      </x:c>
      <x:c r="J66" s="28" t="str">
        <x:v>供应商高管人员关联检测</x:v>
      </x:c>
      <x:c r="K66" s="31" t="str">
        <x:v>关系路径</x:v>
      </x:c>
      <x:c r="L66" s="31" t="str">
        <x:v>高</x:v>
      </x:c>
      <x:c r="M66" s="31" t="str">
        <x:v>草稿</x:v>
      </x:c>
      <x:c r="N66" s="31" t="str">
        <x:v>全部禁用</x:v>
      </x:c>
      <x:c r="O66" s="31" t="str">
        <x:v>待接外部数据</x:v>
      </x:c>
      <x:c r="P66" s="31" t="str">
        <x:v>用户提出</x:v>
      </x:c>
      <x:c r="Q66" s="28" t="str">
        <x:v>供应商董监高或经营层人员与甲方人员存在任职或利益关联。；判定条件：存在共同任职或利益关联路径。</x:v>
      </x:c>
    </x:row>
    <x:row r="67" ht="36" customHeight="1">
      <x:c r="A67" s="31" t="n">
        <x:v>61</x:v>
      </x:c>
      <x:c r="B67" s="28" t="str">
        <x:v>采购/供应链</x:v>
      </x:c>
      <x:c r="C67" s="28" t="str">
        <x:v>供应商及交易对手风险</x:v>
      </x:c>
      <x:c r="D67" s="31" t="str">
        <x:v>SCENE-CP-005</x:v>
      </x:c>
      <x:c r="E67" s="40" t="str">
        <x:v>事前/事中</x:v>
      </x:c>
      <x:c r="F67" s="28" t="str">
        <x:v>贸易背景异常识别</x:v>
      </x:c>
      <x:c r="G67" s="31" t="str">
        <x:v>107</x:v>
      </x:c>
      <x:c r="H67" s="28" t="str">
        <x:v>非主业违规贸易检测</x:v>
      </x:c>
      <x:c r="I67" s="31" t="str">
        <x:v>RULE-107-01</x:v>
      </x:c>
      <x:c r="J67" s="28" t="str">
        <x:v>非主业违规贸易检测</x:v>
      </x:c>
      <x:c r="K67" s="31" t="str">
        <x:v>字段比对</x:v>
      </x:c>
      <x:c r="L67" s="31" t="str">
        <x:v>高</x:v>
      </x:c>
      <x:c r="M67" s="31" t="str">
        <x:v>草稿</x:v>
      </x:c>
      <x:c r="N67" s="31" t="str">
        <x:v>全部禁用</x:v>
      </x:c>
      <x:c r="O67" s="31" t="str">
        <x:v>待接外部数据</x:v>
      </x:c>
      <x:c r="P67" s="31" t="str">
        <x:v>用户提出</x:v>
      </x:c>
      <x:c r="Q67" s="28" t="str">
        <x:v>贸易品类超出企业经营范围或偏离集团核准主业清单。；判定条件：不在经营范围或集团主业白名单。</x:v>
      </x:c>
    </x:row>
    <x:row r="68" ht="36" customHeight="1">
      <x:c r="A68" s="31" t="n">
        <x:v>62</x:v>
      </x:c>
      <x:c r="B68" s="28" t="str">
        <x:v>采购/供应链</x:v>
      </x:c>
      <x:c r="C68" s="28" t="str">
        <x:v>供应商及交易对手风险</x:v>
      </x:c>
      <x:c r="D68" s="31" t="str">
        <x:v>SCENE-CP-005</x:v>
      </x:c>
      <x:c r="E68" s="38" t="str">
        <x:v>事前</x:v>
      </x:c>
      <x:c r="F68" s="28" t="str">
        <x:v>交易对手异常识别</x:v>
      </x:c>
      <x:c r="G68" s="31" t="str">
        <x:v>301</x:v>
      </x:c>
      <x:c r="H68" s="28" t="str">
        <x:v>空壳资本企业风险检测</x:v>
      </x:c>
      <x:c r="I68" s="31" t="str">
        <x:v>RULE-301-01</x:v>
      </x:c>
      <x:c r="J68" s="28" t="str">
        <x:v>空壳资本企业风险检测</x:v>
      </x:c>
      <x:c r="K68" s="31" t="str">
        <x:v>聚合</x:v>
      </x:c>
      <x:c r="L68" s="31" t="str">
        <x:v>高</x:v>
      </x:c>
      <x:c r="M68" s="31" t="str">
        <x:v>草稿</x:v>
      </x:c>
      <x:c r="N68" s="31" t="str">
        <x:v>全部禁用</x:v>
      </x:c>
      <x:c r="O68" s="31" t="str">
        <x:v>待接外部数据</x:v>
      </x:c>
      <x:c r="P68" s="31" t="str">
        <x:v>用户提出</x:v>
      </x:c>
      <x:c r="Q68" s="28" t="str">
        <x:v>实缴资本低于1000万元且注册地址为集中托管地址。；判定条件：实缴资本&lt;1000万元且集中托管地址。</x:v>
      </x:c>
    </x:row>
    <x:row r="69" ht="36" customHeight="1">
      <x:c r="A69" s="31" t="n">
        <x:v>63</x:v>
      </x:c>
      <x:c r="B69" s="28" t="str">
        <x:v>采购/供应链</x:v>
      </x:c>
      <x:c r="C69" s="28" t="str">
        <x:v>供应商及交易对手风险</x:v>
      </x:c>
      <x:c r="D69" s="31" t="str">
        <x:v>SCENE-CP-005</x:v>
      </x:c>
      <x:c r="E69" s="38" t="str">
        <x:v>事前</x:v>
      </x:c>
      <x:c r="F69" s="28" t="str">
        <x:v>交易对手异常识别</x:v>
      </x:c>
      <x:c r="G69" s="31" t="str">
        <x:v>302</x:v>
      </x:c>
      <x:c r="H69" s="28" t="str">
        <x:v>企业社保空心化检测</x:v>
      </x:c>
      <x:c r="I69" s="31" t="str">
        <x:v>RULE-302-01</x:v>
      </x:c>
      <x:c r="J69" s="28" t="str">
        <x:v>企业社保空心化检测</x:v>
      </x:c>
      <x:c r="K69" s="31" t="str">
        <x:v>聚合</x:v>
      </x:c>
      <x:c r="L69" s="31" t="str">
        <x:v>高</x:v>
      </x:c>
      <x:c r="M69" s="31" t="str">
        <x:v>草稿</x:v>
      </x:c>
      <x:c r="N69" s="31" t="str">
        <x:v>全部禁用</x:v>
      </x:c>
      <x:c r="O69" s="31" t="str">
        <x:v>待接外部数据</x:v>
      </x:c>
      <x:c r="P69" s="31" t="str">
        <x:v>用户提出</x:v>
      </x:c>
      <x:c r="Q69" s="28" t="str">
        <x:v>近12个月平均参保人数低于10人。；判定条件：近12个月平均参保人数&lt;10。</x:v>
      </x:c>
    </x:row>
    <x:row r="70" ht="36" customHeight="1">
      <x:c r="A70" s="31" t="n">
        <x:v>64</x:v>
      </x:c>
      <x:c r="B70" s="28" t="str">
        <x:v>采购/供应链</x:v>
      </x:c>
      <x:c r="C70" s="28" t="str">
        <x:v>供应商及交易对手风险</x:v>
      </x:c>
      <x:c r="D70" s="31" t="str">
        <x:v>SCENE-CP-005</x:v>
      </x:c>
      <x:c r="E70" s="38" t="str">
        <x:v>事前</x:v>
      </x:c>
      <x:c r="F70" s="28" t="str">
        <x:v>交易对手异常识别</x:v>
      </x:c>
      <x:c r="G70" s="31" t="str">
        <x:v>303</x:v>
      </x:c>
      <x:c r="H70" s="28" t="str">
        <x:v>新成立企业风控检测</x:v>
      </x:c>
      <x:c r="I70" s="31" t="str">
        <x:v>RULE-303-01</x:v>
      </x:c>
      <x:c r="J70" s="28" t="str">
        <x:v>新成立企业风控检测</x:v>
      </x:c>
      <x:c r="K70" s="31" t="str">
        <x:v>聚合</x:v>
      </x:c>
      <x:c r="L70" s="31" t="str">
        <x:v>中</x:v>
      </x:c>
      <x:c r="M70" s="31" t="str">
        <x:v>草稿</x:v>
      </x:c>
      <x:c r="N70" s="31" t="str">
        <x:v>全部禁用</x:v>
      </x:c>
      <x:c r="O70" s="31" t="str">
        <x:v>待接外部数据</x:v>
      </x:c>
      <x:c r="P70" s="31" t="str">
        <x:v>用户提出</x:v>
      </x:c>
      <x:c r="Q70" s="28" t="str">
        <x:v>企业成立时间不足180天。；判定条件：成立天数&lt;180天。</x:v>
      </x:c>
    </x:row>
    <x:row r="71" ht="36" customHeight="1">
      <x:c r="A71" s="31" t="n">
        <x:v>65</x:v>
      </x:c>
      <x:c r="B71" s="28" t="str">
        <x:v>采购/供应链</x:v>
      </x:c>
      <x:c r="C71" s="28" t="str">
        <x:v>供应商及交易对手风险</x:v>
      </x:c>
      <x:c r="D71" s="31" t="str">
        <x:v>SCENE-CP-005</x:v>
      </x:c>
      <x:c r="E71" s="38" t="str">
        <x:v>事前</x:v>
      </x:c>
      <x:c r="F71" s="28" t="str">
        <x:v>交易对手异常识别</x:v>
      </x:c>
      <x:c r="G71" s="31" t="str">
        <x:v>304</x:v>
      </x:c>
      <x:c r="H71" s="28" t="str">
        <x:v>企业经营异常名录检测</x:v>
      </x:c>
      <x:c r="I71" s="31" t="str">
        <x:v>RULE-304-01</x:v>
      </x:c>
      <x:c r="J71" s="28" t="str">
        <x:v>企业经营异常名录检测</x:v>
      </x:c>
      <x:c r="K71" s="31" t="str">
        <x:v>字段比对</x:v>
      </x:c>
      <x:c r="L71" s="31" t="str">
        <x:v>高</x:v>
      </x:c>
      <x:c r="M71" s="31" t="str">
        <x:v>草稿</x:v>
      </x:c>
      <x:c r="N71" s="31" t="str">
        <x:v>全部禁用</x:v>
      </x:c>
      <x:c r="O71" s="31" t="str">
        <x:v>待接外部数据</x:v>
      </x:c>
      <x:c r="P71" s="31" t="str">
        <x:v>用户提出</x:v>
      </x:c>
      <x:c r="Q71" s="28" t="str">
        <x:v>企业被列入经营异常名录且尚未移出。；判定条件：经营异常状态=未移出。</x:v>
      </x:c>
    </x:row>
    <x:row r="72" ht="36" customHeight="1">
      <x:c r="A72" s="31" t="n">
        <x:v>66</x:v>
      </x:c>
      <x:c r="B72" s="28" t="str">
        <x:v>采购/供应链</x:v>
      </x:c>
      <x:c r="C72" s="28" t="str">
        <x:v>供应商及交易对手风险</x:v>
      </x:c>
      <x:c r="D72" s="31" t="str">
        <x:v>SCENE-CP-005</x:v>
      </x:c>
      <x:c r="E72" s="38" t="str">
        <x:v>事前</x:v>
      </x:c>
      <x:c r="F72" s="28" t="str">
        <x:v>交易对手异常识别</x:v>
      </x:c>
      <x:c r="G72" s="31" t="str">
        <x:v>305</x:v>
      </x:c>
      <x:c r="H72" s="28" t="str">
        <x:v>严重违法失信企业检测</x:v>
      </x:c>
      <x:c r="I72" s="31" t="str">
        <x:v>RULE-305-01</x:v>
      </x:c>
      <x:c r="J72" s="28" t="str">
        <x:v>严重违法失信企业检测</x:v>
      </x:c>
      <x:c r="K72" s="31" t="str">
        <x:v>字段比对</x:v>
      </x:c>
      <x:c r="L72" s="31" t="str">
        <x:v>重大</x:v>
      </x:c>
      <x:c r="M72" s="31" t="str">
        <x:v>草稿</x:v>
      </x:c>
      <x:c r="N72" s="31" t="str">
        <x:v>全部禁用</x:v>
      </x:c>
      <x:c r="O72" s="31" t="str">
        <x:v>待接外部数据</x:v>
      </x:c>
      <x:c r="P72" s="31" t="str">
        <x:v>用户提出</x:v>
      </x:c>
      <x:c r="Q72" s="28" t="str">
        <x:v>企业命中严重违法失信名单。；判定条件：命中严重违法失信名单。</x:v>
      </x:c>
    </x:row>
    <x:row r="73" ht="36" customHeight="1">
      <x:c r="A73" s="31" t="n">
        <x:v>67</x:v>
      </x:c>
      <x:c r="B73" s="28" t="str">
        <x:v>采购/供应链</x:v>
      </x:c>
      <x:c r="C73" s="28" t="str">
        <x:v>供应商及交易对手风险</x:v>
      </x:c>
      <x:c r="D73" s="31" t="str">
        <x:v>SCENE-CP-005</x:v>
      </x:c>
      <x:c r="E73" s="38" t="str">
        <x:v>事前</x:v>
      </x:c>
      <x:c r="F73" s="28" t="str">
        <x:v>交易对手异常识别</x:v>
      </x:c>
      <x:c r="G73" s="31" t="str">
        <x:v>306</x:v>
      </x:c>
      <x:c r="H73" s="28" t="str">
        <x:v>法人失信被执行人检测</x:v>
      </x:c>
      <x:c r="I73" s="31" t="str">
        <x:v>RULE-306-01</x:v>
      </x:c>
      <x:c r="J73" s="28" t="str">
        <x:v>法人失信被执行人检测</x:v>
      </x:c>
      <x:c r="K73" s="31" t="str">
        <x:v>字段比对</x:v>
      </x:c>
      <x:c r="L73" s="31" t="str">
        <x:v>高</x:v>
      </x:c>
      <x:c r="M73" s="31" t="str">
        <x:v>草稿</x:v>
      </x:c>
      <x:c r="N73" s="31" t="str">
        <x:v>全部禁用</x:v>
      </x:c>
      <x:c r="O73" s="31" t="str">
        <x:v>待接外部数据</x:v>
      </x:c>
      <x:c r="P73" s="31" t="str">
        <x:v>用户提出</x:v>
      </x:c>
      <x:c r="Q73" s="28" t="str">
        <x:v>企业法定代表人为失信被执行人。；判定条件：法人命中失信被执行人。</x:v>
      </x:c>
    </x:row>
    <x:row r="74" ht="36" customHeight="1">
      <x:c r="A74" s="31" t="n">
        <x:v>68</x:v>
      </x:c>
      <x:c r="B74" s="28" t="str">
        <x:v>采购/供应链</x:v>
      </x:c>
      <x:c r="C74" s="28" t="str">
        <x:v>供应商及交易对手风险</x:v>
      </x:c>
      <x:c r="D74" s="31" t="str">
        <x:v>SCENE-CP-005</x:v>
      </x:c>
      <x:c r="E74" s="38" t="str">
        <x:v>事前</x:v>
      </x:c>
      <x:c r="F74" s="28" t="str">
        <x:v>交易对手异常识别</x:v>
      </x:c>
      <x:c r="G74" s="31" t="str">
        <x:v>307</x:v>
      </x:c>
      <x:c r="H74" s="28" t="str">
        <x:v>企业名称敏感特征检测</x:v>
      </x:c>
      <x:c r="I74" s="31" t="str">
        <x:v>RULE-307-01</x:v>
      </x:c>
      <x:c r="J74" s="28" t="str">
        <x:v>企业名称敏感特征检测</x:v>
      </x:c>
      <x:c r="K74" s="31" t="str">
        <x:v>字段比对</x:v>
      </x:c>
      <x:c r="L74" s="31" t="str">
        <x:v>中</x:v>
      </x:c>
      <x:c r="M74" s="31" t="str">
        <x:v>草稿</x:v>
      </x:c>
      <x:c r="N74" s="31" t="str">
        <x:v>全部禁用</x:v>
      </x:c>
      <x:c r="O74" s="31" t="str">
        <x:v>待接外部数据</x:v>
      </x:c>
      <x:c r="P74" s="31" t="str">
        <x:v>用户提出</x:v>
      </x:c>
      <x:c r="Q74" s="28" t="str">
        <x:v>企业名称命中融资、托盘、套利、大宗等敏感关键词。；判定条件：名称命中融资/托盘/套利/大宗关键词。</x:v>
      </x:c>
    </x:row>
    <x:row r="75" ht="36" customHeight="1">
      <x:c r="A75" s="31" t="n">
        <x:v>69</x:v>
      </x:c>
      <x:c r="B75" s="28" t="str">
        <x:v>采购/供应链</x:v>
      </x:c>
      <x:c r="C75" s="28" t="str">
        <x:v>供应商及交易对手风险</x:v>
      </x:c>
      <x:c r="D75" s="31" t="str">
        <x:v>SCENE-CP-005</x:v>
      </x:c>
      <x:c r="E75" s="38" t="str">
        <x:v>事前</x:v>
      </x:c>
      <x:c r="F75" s="28" t="str">
        <x:v>交易对手异常识别</x:v>
      </x:c>
      <x:c r="G75" s="31" t="str">
        <x:v>308</x:v>
      </x:c>
      <x:c r="H75" s="28" t="str">
        <x:v>高比例股权质押风险检测</x:v>
      </x:c>
      <x:c r="I75" s="31" t="str">
        <x:v>RULE-308-01</x:v>
      </x:c>
      <x:c r="J75" s="28" t="str">
        <x:v>高比例股权质押风险检测</x:v>
      </x:c>
      <x:c r="K75" s="31" t="str">
        <x:v>聚合</x:v>
      </x:c>
      <x:c r="L75" s="31" t="str">
        <x:v>高</x:v>
      </x:c>
      <x:c r="M75" s="31" t="str">
        <x:v>草稿</x:v>
      </x:c>
      <x:c r="N75" s="31" t="str">
        <x:v>全部禁用</x:v>
      </x:c>
      <x:c r="O75" s="31" t="str">
        <x:v>待接外部数据</x:v>
      </x:c>
      <x:c r="P75" s="31" t="str">
        <x:v>用户提出</x:v>
      </x:c>
      <x:c r="Q75" s="28" t="str">
        <x:v>企业股权质押比例达到或超过80%。；判定条件：股权质押比例≥80%。</x:v>
      </x:c>
    </x:row>
    <x:row r="76" ht="36" customHeight="1">
      <x:c r="A76" s="31" t="n">
        <x:v>70</x:v>
      </x:c>
      <x:c r="B76" s="28" t="str">
        <x:v>采购/供应链</x:v>
      </x:c>
      <x:c r="C76" s="28" t="str">
        <x:v>供应商及交易对手风险</x:v>
      </x:c>
      <x:c r="D76" s="31" t="str">
        <x:v>SCENE-CP-005</x:v>
      </x:c>
      <x:c r="E76" s="38" t="str">
        <x:v>事前</x:v>
      </x:c>
      <x:c r="F76" s="28" t="str">
        <x:v>交易对手异常识别</x:v>
      </x:c>
      <x:c r="G76" s="31" t="str">
        <x:v>309</x:v>
      </x:c>
      <x:c r="H76" s="28" t="str">
        <x:v>密集司法纠纷风险检测</x:v>
      </x:c>
      <x:c r="I76" s="31" t="str">
        <x:v>RULE-309-01</x:v>
      </x:c>
      <x:c r="J76" s="28" t="str">
        <x:v>密集司法纠纷风险检测</x:v>
      </x:c>
      <x:c r="K76" s="31" t="str">
        <x:v>聚合</x:v>
      </x:c>
      <x:c r="L76" s="31" t="str">
        <x:v>高</x:v>
      </x:c>
      <x:c r="M76" s="31" t="str">
        <x:v>草稿</x:v>
      </x:c>
      <x:c r="N76" s="31" t="str">
        <x:v>全部禁用</x:v>
      </x:c>
      <x:c r="O76" s="31" t="str">
        <x:v>待接外部数据</x:v>
      </x:c>
      <x:c r="P76" s="31" t="str">
        <x:v>用户提出</x:v>
      </x:c>
      <x:c r="Q76" s="28" t="str">
        <x:v>近12个月作为被告的买卖合同纠纷达到5起。；判定条件：近12个月买卖合同纠纷被告次数≥5。</x:v>
      </x:c>
    </x:row>
    <x:row r="77" ht="36" customHeight="1">
      <x:c r="A77" s="31" t="n">
        <x:v>71</x:v>
      </x:c>
      <x:c r="B77" s="28" t="str">
        <x:v>采购/供应链</x:v>
      </x:c>
      <x:c r="C77" s="28" t="str">
        <x:v>供应商及交易对手风险</x:v>
      </x:c>
      <x:c r="D77" s="31" t="str">
        <x:v>SCENE-CP-005</x:v>
      </x:c>
      <x:c r="E77" s="38" t="str">
        <x:v>事前</x:v>
      </x:c>
      <x:c r="F77" s="28" t="str">
        <x:v>交易对手异常识别</x:v>
      </x:c>
      <x:c r="G77" s="31" t="str">
        <x:v>310</x:v>
      </x:c>
      <x:c r="H77" s="28" t="str">
        <x:v>集团内部黑名单匹配检测</x:v>
      </x:c>
      <x:c r="I77" s="31" t="str">
        <x:v>RULE-310-01</x:v>
      </x:c>
      <x:c r="J77" s="28" t="str">
        <x:v>集团内部黑名单匹配检测</x:v>
      </x:c>
      <x:c r="K77" s="31" t="str">
        <x:v>字段比对</x:v>
      </x:c>
      <x:c r="L77" s="31" t="str">
        <x:v>重大</x:v>
      </x:c>
      <x:c r="M77" s="31" t="str">
        <x:v>草稿</x:v>
      </x:c>
      <x:c r="N77" s="31" t="str">
        <x:v>全部禁用</x:v>
      </x:c>
      <x:c r="O77" s="31" t="str">
        <x:v>待接外部数据</x:v>
      </x:c>
      <x:c r="P77" s="31" t="str">
        <x:v>用户提出</x:v>
      </x:c>
      <x:c r="Q77" s="28" t="str">
        <x:v>交易对手命中集团内部黑名单。；判定条件：命中集团黑名单。</x:v>
      </x:c>
    </x:row>
    <x:row r="78" ht="36" customHeight="1">
      <x:c r="A78" s="31" t="n">
        <x:v>72</x:v>
      </x:c>
      <x:c r="B78" s="28" t="str">
        <x:v>采购/供应链</x:v>
      </x:c>
      <x:c r="C78" s="28" t="str">
        <x:v>供应商及交易对手风险</x:v>
      </x:c>
      <x:c r="D78" s="31" t="str">
        <x:v>SCENE-CP-005</x:v>
      </x:c>
      <x:c r="E78" s="40" t="str">
        <x:v>事前/事中</x:v>
      </x:c>
      <x:c r="F78" s="28" t="str">
        <x:v>交易对手异常识别</x:v>
      </x:c>
      <x:c r="G78" s="31" t="str">
        <x:v>311</x:v>
      </x:c>
      <x:c r="H78" s="28" t="str">
        <x:v>外部企业负面舆情</x:v>
      </x:c>
      <x:c r="I78" s="31" t="str">
        <x:v>RULE-311-01</x:v>
      </x:c>
      <x:c r="J78" s="28" t="str">
        <x:v>外部企业负面舆情</x:v>
      </x:c>
      <x:c r="K78" s="31" t="str">
        <x:v>字段比对</x:v>
      </x:c>
      <x:c r="L78" s="31" t="str">
        <x:v>高</x:v>
      </x:c>
      <x:c r="M78" s="31" t="str">
        <x:v>草稿</x:v>
      </x:c>
      <x:c r="N78" s="31" t="str">
        <x:v>全部禁用</x:v>
      </x:c>
      <x:c r="O78" s="31" t="str">
        <x:v>待接外部数据</x:v>
      </x:c>
      <x:c r="P78" s="31" t="str">
        <x:v>用户提出</x:v>
      </x:c>
      <x:c r="Q78" s="28" t="str">
        <x:v>企业存在经核实的重大负面舆情。；判定条件：重大负面舆情置信度≥配置阈值。</x:v>
      </x:c>
    </x:row>
    <x:row r="79" ht="36" customHeight="1">
      <x:c r="A79" s="31" t="n">
        <x:v>73</x:v>
      </x:c>
      <x:c r="B79" s="28" t="str">
        <x:v>采购/供应链</x:v>
      </x:c>
      <x:c r="C79" s="28" t="str">
        <x:v>供应商及交易对手风险</x:v>
      </x:c>
      <x:c r="D79" s="31" t="str">
        <x:v>SCENE-CP-005</x:v>
      </x:c>
      <x:c r="E79" s="38" t="str">
        <x:v>事前</x:v>
      </x:c>
      <x:c r="F79" s="28" t="str">
        <x:v>交易对手异常识别</x:v>
      </x:c>
      <x:c r="G79" s="31" t="str">
        <x:v>312</x:v>
      </x:c>
      <x:c r="H79" s="28" t="str">
        <x:v>历史长期逾期交易检测</x:v>
      </x:c>
      <x:c r="I79" s="31" t="str">
        <x:v>RULE-312-01</x:v>
      </x:c>
      <x:c r="J79" s="28" t="str">
        <x:v>历史长期逾期交易检测</x:v>
      </x:c>
      <x:c r="K79" s="31" t="str">
        <x:v>聚合</x:v>
      </x:c>
      <x:c r="L79" s="31" t="str">
        <x:v>高</x:v>
      </x:c>
      <x:c r="M79" s="31" t="str">
        <x:v>草稿</x:v>
      </x:c>
      <x:c r="N79" s="31" t="str">
        <x:v>全部禁用</x:v>
      </x:c>
      <x:c r="O79" s="31" t="str">
        <x:v>待建设</x:v>
      </x:c>
      <x:c r="P79" s="31" t="str">
        <x:v>用户提出</x:v>
      </x:c>
      <x:c r="Q79" s="28" t="str">
        <x:v>交易对手存在超过30天的历史逾期履约记录。；判定条件：历史逾期天数&gt;30天。</x:v>
      </x:c>
    </x:row>
    <x:row r="80" ht="36" customHeight="1">
      <x:c r="A80" s="31" t="n">
        <x:v>74</x:v>
      </x:c>
      <x:c r="B80" s="28" t="str">
        <x:v>供应链</x:v>
      </x:c>
      <x:c r="C80" s="28" t="str">
        <x:v>货权及交付异常</x:v>
      </x:c>
      <x:c r="D80" s="31" t="str">
        <x:v>SCENE-DELIVERY-010</x:v>
      </x:c>
      <x:c r="E80" s="36" t="str">
        <x:v>事后</x:v>
      </x:c>
      <x:c r="F80" s="28" t="str">
        <x:v>货权转移异常识别</x:v>
      </x:c>
      <x:c r="G80" s="31" t="str">
        <x:v>701</x:v>
      </x:c>
      <x:c r="H80" s="28" t="str">
        <x:v>收付款无完整交付信息检测</x:v>
      </x:c>
      <x:c r="I80" s="31" t="str">
        <x:v>RULE-701-01</x:v>
      </x:c>
      <x:c r="J80" s="28" t="str">
        <x:v>收付款无完整交付信息检测</x:v>
      </x:c>
      <x:c r="K80" s="31" t="str">
        <x:v>字段比对</x:v>
      </x:c>
      <x:c r="L80" s="31" t="str">
        <x:v>重大</x:v>
      </x:c>
      <x:c r="M80" s="31" t="str">
        <x:v>草稿</x:v>
      </x:c>
      <x:c r="N80" s="31" t="str">
        <x:v>全部禁用</x:v>
      </x:c>
      <x:c r="O80" s="31" t="str">
        <x:v>已实现</x:v>
      </x:c>
      <x:c r="P80" s="31" t="str">
        <x:v>用户提出</x:v>
      </x:c>
      <x:c r="Q80" s="28" t="str">
        <x:v>收付款完整但缺失交付单据、物流、签收、入库或验收信息。；判定条件：收付款完整且交付凭证缺失或异常。</x:v>
      </x:c>
    </x:row>
    <x:row r="81" ht="36" customHeight="1">
      <x:c r="A81" s="31" t="n">
        <x:v>75</x:v>
      </x:c>
      <x:c r="B81" s="28" t="str">
        <x:v>供应链</x:v>
      </x:c>
      <x:c r="C81" s="28" t="str">
        <x:v>货权及交付异常</x:v>
      </x:c>
      <x:c r="D81" s="31" t="str">
        <x:v>SCENE-DELIVERY-010</x:v>
      </x:c>
      <x:c r="E81" s="36" t="str">
        <x:v>事后</x:v>
      </x:c>
      <x:c r="F81" s="28" t="str">
        <x:v>货权转移异常识别</x:v>
      </x:c>
      <x:c r="G81" s="31" t="str">
        <x:v>702</x:v>
      </x:c>
      <x:c r="H81" s="28" t="str">
        <x:v>采购交付数量不符检测</x:v>
      </x:c>
      <x:c r="I81" s="31" t="str">
        <x:v>RULE-702-01</x:v>
      </x:c>
      <x:c r="J81" s="28" t="str">
        <x:v>采购交付数量不符检测</x:v>
      </x:c>
      <x:c r="K81" s="31" t="str">
        <x:v>字段比对</x:v>
      </x:c>
      <x:c r="L81" s="31" t="str">
        <x:v>高</x:v>
      </x:c>
      <x:c r="M81" s="31" t="str">
        <x:v>草稿</x:v>
      </x:c>
      <x:c r="N81" s="31" t="str">
        <x:v>全部禁用</x:v>
      </x:c>
      <x:c r="O81" s="31" t="str">
        <x:v>待建设</x:v>
      </x:c>
      <x:c r="P81" s="31" t="str">
        <x:v>用户提出</x:v>
      </x:c>
      <x:c r="Q81" s="28" t="str">
        <x:v>实际交付或入库数量与采购合同约定数量不一致。；判定条件：交付/入库数量≠合同数量。</x:v>
      </x:c>
    </x:row>
    <x:row r="82" ht="36" customHeight="1">
      <x:c r="A82" s="31" t="n">
        <x:v>76</x:v>
      </x:c>
      <x:c r="B82" s="28" t="str">
        <x:v>供应链</x:v>
      </x:c>
      <x:c r="C82" s="28" t="str">
        <x:v>货权及交付异常</x:v>
      </x:c>
      <x:c r="D82" s="31" t="str">
        <x:v>SCENE-DELIVERY-010</x:v>
      </x:c>
      <x:c r="E82" s="36" t="str">
        <x:v>事前/事中/事后</x:v>
      </x:c>
      <x:c r="F82" s="28" t="str">
        <x:v>货权转移异常识别</x:v>
      </x:c>
      <x:c r="G82" s="31" t="str">
        <x:v>703</x:v>
      </x:c>
      <x:c r="H82" s="28" t="str">
        <x:v>非标仓单交易风险检测</x:v>
      </x:c>
      <x:c r="I82" s="31" t="str">
        <x:v>RULE-703-01</x:v>
      </x:c>
      <x:c r="J82" s="28" t="str">
        <x:v>非标仓单交易风险检测</x:v>
      </x:c>
      <x:c r="K82" s="31" t="str">
        <x:v>字段比对</x:v>
      </x:c>
      <x:c r="L82" s="31" t="str">
        <x:v>重大</x:v>
      </x:c>
      <x:c r="M82" s="31" t="str">
        <x:v>草稿</x:v>
      </x:c>
      <x:c r="N82" s="31" t="str">
        <x:v>全部禁用</x:v>
      </x:c>
      <x:c r="O82" s="31" t="str">
        <x:v>待接外部数据</x:v>
      </x:c>
      <x:c r="P82" s="31" t="str">
        <x:v>用户提出</x:v>
      </x:c>
      <x:c r="Q82" s="28" t="str">
        <x:v>仓单开具主体不在合规交割仓库或厂库名单。；判定条件：仓单主体不在合规仓库名单。</x:v>
      </x:c>
    </x:row>
    <x:row r="83" ht="36" customHeight="1">
      <x:c r="A83" s="31" t="n">
        <x:v>77</x:v>
      </x:c>
      <x:c r="B83" s="28" t="str">
        <x:v>供应链</x:v>
      </x:c>
      <x:c r="C83" s="28" t="str">
        <x:v>贸易背景及循环贸易</x:v>
      </x:c>
      <x:c r="D83" s="31" t="str">
        <x:v>SCENE-TRADE-006</x:v>
      </x:c>
      <x:c r="E83" s="36" t="str">
        <x:v>事中/事后</x:v>
      </x:c>
      <x:c r="F83" s="28" t="str">
        <x:v>贸易背景异常识别</x:v>
      </x:c>
      <x:c r="G83" s="31" t="str">
        <x:v>101</x:v>
      </x:c>
      <x:c r="H83" s="28" t="str">
        <x:v>跨单位同标的收支合同检测</x:v>
      </x:c>
      <x:c r="I83" s="31" t="str">
        <x:v>RULE-101-01</x:v>
      </x:c>
      <x:c r="J83" s="28" t="str">
        <x:v>跨单位同标的收支合同检测</x:v>
      </x:c>
      <x:c r="K83" s="31" t="str">
        <x:v>聚合</x:v>
      </x:c>
      <x:c r="L83" s="31" t="str">
        <x:v>重大</x:v>
      </x:c>
      <x:c r="M83" s="31" t="str">
        <x:v>草稿</x:v>
      </x:c>
      <x:c r="N83" s="31" t="str">
        <x:v>全部禁用</x:v>
      </x:c>
      <x:c r="O83" s="31" t="str">
        <x:v>已有演示明细，待规则化</x:v>
      </x:c>
      <x:c r="P83" s="31" t="str">
        <x:v>用户提出</x:v>
      </x:c>
      <x:c r="Q83" s="28" t="str">
        <x:v>不同交易主体的收支合同标的名称、规格高度雷同且交易方向相反。；判定条件：标的名称及规格相似度≥90%，交易方向相反。</x:v>
      </x:c>
    </x:row>
    <x:row r="84" ht="36" customHeight="1">
      <x:c r="A84" s="31" t="n">
        <x:v>78</x:v>
      </x:c>
      <x:c r="B84" s="28" t="str">
        <x:v>供应链</x:v>
      </x:c>
      <x:c r="C84" s="28" t="str">
        <x:v>贸易背景及循环贸易</x:v>
      </x:c>
      <x:c r="D84" s="31" t="str">
        <x:v>SCENE-TRADE-006</x:v>
      </x:c>
      <x:c r="E84" s="36" t="str">
        <x:v>事中/事后</x:v>
      </x:c>
      <x:c r="F84" s="28" t="str">
        <x:v>贸易背景异常识别</x:v>
      </x:c>
      <x:c r="G84" s="31" t="str">
        <x:v>103</x:v>
      </x:c>
      <x:c r="H84" s="28" t="str">
        <x:v>同主体同标的收支合同检测</x:v>
      </x:c>
      <x:c r="I84" s="31" t="str">
        <x:v>RULE-103-01</x:v>
      </x:c>
      <x:c r="J84" s="28" t="str">
        <x:v>同主体同标的收支合同检测</x:v>
      </x:c>
      <x:c r="K84" s="31" t="str">
        <x:v>聚合</x:v>
      </x:c>
      <x:c r="L84" s="31" t="str">
        <x:v>重大</x:v>
      </x:c>
      <x:c r="M84" s="31" t="str">
        <x:v>草稿</x:v>
      </x:c>
      <x:c r="N84" s="31" t="str">
        <x:v>全部禁用</x:v>
      </x:c>
      <x:c r="O84" s="31" t="str">
        <x:v>已有演示明细，待规则化</x:v>
      </x:c>
      <x:c r="P84" s="31" t="str">
        <x:v>用户提出</x:v>
      </x:c>
      <x:c r="Q84" s="28" t="str">
        <x:v>同一经营主体存在同标的、同规格的双向购销合同。；判定条件：同主体、同标的、同规格且交易方向相反。</x:v>
      </x:c>
    </x:row>
    <x:row r="85" ht="36" customHeight="1">
      <x:c r="A85" s="31" t="n">
        <x:v>79</x:v>
      </x:c>
      <x:c r="B85" s="28" t="str">
        <x:v>供应链</x:v>
      </x:c>
      <x:c r="C85" s="28" t="str">
        <x:v>贸易背景及循环贸易</x:v>
      </x:c>
      <x:c r="D85" s="31" t="str">
        <x:v>SCENE-TRADE-006</x:v>
      </x:c>
      <x:c r="E85" s="36" t="str">
        <x:v>事中/事后</x:v>
      </x:c>
      <x:c r="F85" s="28" t="str">
        <x:v>上下游交易对手关联关系异常识别</x:v>
      </x:c>
      <x:c r="G85" s="31" t="str">
        <x:v>401</x:v>
      </x:c>
      <x:c r="H85" s="28" t="str">
        <x:v>上下游签约主体同源检测</x:v>
      </x:c>
      <x:c r="I85" s="31" t="str">
        <x:v>RULE-401-01</x:v>
      </x:c>
      <x:c r="J85" s="28" t="str">
        <x:v>上下游签约主体同源检测</x:v>
      </x:c>
      <x:c r="K85" s="31" t="str">
        <x:v>聚合</x:v>
      </x:c>
      <x:c r="L85" s="31" t="str">
        <x:v>重大</x:v>
      </x:c>
      <x:c r="M85" s="31" t="str">
        <x:v>草稿</x:v>
      </x:c>
      <x:c r="N85" s="31" t="str">
        <x:v>全部禁用</x:v>
      </x:c>
      <x:c r="O85" s="31" t="str">
        <x:v>待建设</x:v>
      </x:c>
      <x:c r="P85" s="31" t="str">
        <x:v>用户提出</x:v>
      </x:c>
      <x:c r="Q85" s="28" t="str">
        <x:v>同一经营主体同时作为本次贸易的上游和下游签约方。；判定条件：同一主体同时处于上游和下游签约角色。</x:v>
      </x:c>
    </x:row>
    <x:row r="86" ht="36" customHeight="1">
      <x:c r="A86" s="31" t="n">
        <x:v>80</x:v>
      </x:c>
      <x:c r="B86" s="28" t="str">
        <x:v>供应链</x:v>
      </x:c>
      <x:c r="C86" s="28" t="str">
        <x:v>贸易背景及循环贸易</x:v>
      </x:c>
      <x:c r="D86" s="31" t="str">
        <x:v>SCENE-TRADE-006</x:v>
      </x:c>
      <x:c r="E86" s="36" t="str">
        <x:v>事中/事后</x:v>
      </x:c>
      <x:c r="F86" s="28" t="str">
        <x:v>上下游交易对手关联关系异常识别</x:v>
      </x:c>
      <x:c r="G86" s="31" t="str">
        <x:v>402</x:v>
      </x:c>
      <x:c r="H86" s="28" t="str">
        <x:v>关联主体循环贸易检测</x:v>
      </x:c>
      <x:c r="I86" s="31" t="str">
        <x:v>RULE-402-01</x:v>
      </x:c>
      <x:c r="J86" s="28" t="str">
        <x:v>关联主体循环贸易检测</x:v>
      </x:c>
      <x:c r="K86" s="31" t="str">
        <x:v>聚合</x:v>
      </x:c>
      <x:c r="L86" s="31" t="str">
        <x:v>重大</x:v>
      </x:c>
      <x:c r="M86" s="31" t="str">
        <x:v>草稿</x:v>
      </x:c>
      <x:c r="N86" s="31" t="str">
        <x:v>全部禁用</x:v>
      </x:c>
      <x:c r="O86" s="31" t="str">
        <x:v>待建设</x:v>
      </x:c>
      <x:c r="P86" s="31" t="str">
        <x:v>用户提出</x:v>
      </x:c>
      <x:c r="Q86" s="28" t="str">
        <x:v>相同主体或关联主体反复签订同质化购销合同。；判定条件：关联主体同质化购销合同重复次数≥2。</x:v>
      </x:c>
    </x:row>
    <x:row r="87" ht="36" customHeight="1">
      <x:c r="A87" s="31" t="n">
        <x:v>81</x:v>
      </x:c>
      <x:c r="B87" s="28" t="str">
        <x:v>供应链</x:v>
      </x:c>
      <x:c r="C87" s="28" t="str">
        <x:v>贸易背景及循环贸易</x:v>
      </x:c>
      <x:c r="D87" s="31" t="str">
        <x:v>SCENE-TRADE-006</x:v>
      </x:c>
      <x:c r="E87" s="36" t="str">
        <x:v>事前/事中/事后</x:v>
      </x:c>
      <x:c r="F87" s="28" t="str">
        <x:v>上下游交易对手关联关系异常识别</x:v>
      </x:c>
      <x:c r="G87" s="31" t="str">
        <x:v>403</x:v>
      </x:c>
      <x:c r="H87" s="28" t="str">
        <x:v>上下游投资关联关系检测</x:v>
      </x:c>
      <x:c r="I87" s="31" t="str">
        <x:v>RULE-403-01</x:v>
      </x:c>
      <x:c r="J87" s="28" t="str">
        <x:v>上下游投资关联关系检测</x:v>
      </x:c>
      <x:c r="K87" s="31" t="str">
        <x:v>关系路径</x:v>
      </x:c>
      <x:c r="L87" s="31" t="str">
        <x:v>高</x:v>
      </x:c>
      <x:c r="M87" s="31" t="str">
        <x:v>草稿</x:v>
      </x:c>
      <x:c r="N87" s="31" t="str">
        <x:v>全部禁用</x:v>
      </x:c>
      <x:c r="O87" s="31" t="str">
        <x:v>待接外部数据</x:v>
      </x:c>
      <x:c r="P87" s="31" t="str">
        <x:v>用户提出</x:v>
      </x:c>
      <x:c r="Q87" s="28" t="str">
        <x:v>上下游企业存在投资、控股或交叉持股关系。；判定条件：存在投资/控股/交叉持股路径。</x:v>
      </x:c>
    </x:row>
    <x:row r="88" ht="36" customHeight="1">
      <x:c r="A88" s="31" t="n">
        <x:v>82</x:v>
      </x:c>
      <x:c r="B88" s="28" t="str">
        <x:v>供应链</x:v>
      </x:c>
      <x:c r="C88" s="28" t="str">
        <x:v>贸易背景及循环贸易</x:v>
      </x:c>
      <x:c r="D88" s="31" t="str">
        <x:v>SCENE-TRADE-006</x:v>
      </x:c>
      <x:c r="E88" s="36" t="str">
        <x:v>事前/事中/事后</x:v>
      </x:c>
      <x:c r="F88" s="28" t="str">
        <x:v>上下游交易对手关联关系异常识别</x:v>
      </x:c>
      <x:c r="G88" s="31" t="str">
        <x:v>404</x:v>
      </x:c>
      <x:c r="H88" s="28" t="str">
        <x:v>上下游高管人员重合检测</x:v>
      </x:c>
      <x:c r="I88" s="31" t="str">
        <x:v>RULE-404-01</x:v>
      </x:c>
      <x:c r="J88" s="28" t="str">
        <x:v>上下游高管人员重合检测</x:v>
      </x:c>
      <x:c r="K88" s="31" t="str">
        <x:v>关系路径</x:v>
      </x:c>
      <x:c r="L88" s="31" t="str">
        <x:v>高</x:v>
      </x:c>
      <x:c r="M88" s="31" t="str">
        <x:v>草稿</x:v>
      </x:c>
      <x:c r="N88" s="31" t="str">
        <x:v>全部禁用</x:v>
      </x:c>
      <x:c r="O88" s="31" t="str">
        <x:v>待接外部数据</x:v>
      </x:c>
      <x:c r="P88" s="31" t="str">
        <x:v>用户提出</x:v>
      </x:c>
      <x:c r="Q88" s="28" t="str">
        <x:v>上下游企业董监高或经营层人员存在重合。；判定条件：上下游高管人员重合人数≥1。</x:v>
      </x:c>
    </x:row>
    <x:row r="89" ht="36" customHeight="1">
      <x:c r="A89" s="31" t="n">
        <x:v>83</x:v>
      </x:c>
      <x:c r="B89" s="28" t="str">
        <x:v>供应链</x:v>
      </x:c>
      <x:c r="C89" s="28" t="str">
        <x:v>贸易背景及循环贸易</x:v>
      </x:c>
      <x:c r="D89" s="31" t="str">
        <x:v>SCENE-TRADE-006</x:v>
      </x:c>
      <x:c r="E89" s="36" t="str">
        <x:v>事前/事中/事后</x:v>
      </x:c>
      <x:c r="F89" s="28" t="str">
        <x:v>上下游交易对手关联关系异常识别</x:v>
      </x:c>
      <x:c r="G89" s="31" t="str">
        <x:v>405</x:v>
      </x:c>
      <x:c r="H89" s="28" t="str">
        <x:v>上下游地址联系方式重合检测</x:v>
      </x:c>
      <x:c r="I89" s="31" t="str">
        <x:v>RULE-405-01</x:v>
      </x:c>
      <x:c r="J89" s="28" t="str">
        <x:v>上下游地址联系方式重合检测</x:v>
      </x:c>
      <x:c r="K89" s="31" t="str">
        <x:v>关系路径</x:v>
      </x:c>
      <x:c r="L89" s="31" t="str">
        <x:v>高</x:v>
      </x:c>
      <x:c r="M89" s="31" t="str">
        <x:v>草稿</x:v>
      </x:c>
      <x:c r="N89" s="31" t="str">
        <x:v>全部禁用</x:v>
      </x:c>
      <x:c r="O89" s="31" t="str">
        <x:v>待接外部数据</x:v>
      </x:c>
      <x:c r="P89" s="31" t="str">
        <x:v>用户提出</x:v>
      </x:c>
      <x:c r="Q89" s="28" t="str">
        <x:v>上下游企业注册地址、联系电话或联系人信息重合。；判定条件：地址/电话/联系人任一高置信重合。</x:v>
      </x:c>
    </x:row>
    <x:row r="90" ht="36" customHeight="1">
      <x:c r="A90" s="31" t="n">
        <x:v>84</x:v>
      </x:c>
      <x:c r="B90" s="28" t="str">
        <x:v>供应链</x:v>
      </x:c>
      <x:c r="C90" s="28" t="str">
        <x:v>贸易背景及循环贸易</x:v>
      </x:c>
      <x:c r="D90" s="31" t="str">
        <x:v>SCENE-TRADE-006</x:v>
      </x:c>
      <x:c r="E90" s="36" t="str">
        <x:v>事中/事后</x:v>
      </x:c>
      <x:c r="F90" s="28" t="str">
        <x:v>其他异常识别</x:v>
      </x:c>
      <x:c r="G90" s="31" t="str">
        <x:v>801</x:v>
      </x:c>
      <x:c r="H90" s="28" t="str">
        <x:v>央企空转走单套利检测</x:v>
      </x:c>
      <x:c r="I90" s="31" t="str">
        <x:v>RULE-801-01</x:v>
      </x:c>
      <x:c r="J90" s="28" t="str">
        <x:v>央企空转走单套利检测</x:v>
      </x:c>
      <x:c r="K90" s="31" t="str">
        <x:v>关系路径</x:v>
      </x:c>
      <x:c r="L90" s="31" t="str">
        <x:v>重大</x:v>
      </x:c>
      <x:c r="M90" s="31" t="str">
        <x:v>草稿</x:v>
      </x:c>
      <x:c r="N90" s="31" t="str">
        <x:v>全部禁用</x:v>
      </x:c>
      <x:c r="O90" s="31" t="str">
        <x:v>待建设</x:v>
      </x:c>
      <x:c r="P90" s="31" t="str">
        <x:v>用户提出</x:v>
      </x:c>
      <x:c r="Q90" s="28" t="str">
        <x:v>央企项目转包民企、仅收手续费且无实质经营流转。；判定条件：仅收手续费且无货权/物流/经营投入。</x:v>
      </x:c>
    </x:row>
    <x:row r="91" ht="36" customHeight="1">
      <x:c r="A91" s="31" t="n">
        <x:v>85</x:v>
      </x:c>
      <x:c r="B91" s="28" t="str">
        <x:v>供应链</x:v>
      </x:c>
      <x:c r="C91" s="28" t="str">
        <x:v>贸易背景及循环贸易</x:v>
      </x:c>
      <x:c r="D91" s="31" t="str">
        <x:v>SCENE-TRADE-006</x:v>
      </x:c>
      <x:c r="E91" s="36" t="str">
        <x:v>事中/事后</x:v>
      </x:c>
      <x:c r="F91" s="28" t="str">
        <x:v>其他异常识别</x:v>
      </x:c>
      <x:c r="G91" s="31" t="str">
        <x:v>802</x:v>
      </x:c>
      <x:c r="H91" s="28" t="str">
        <x:v>贸易链路虚增环节检测</x:v>
      </x:c>
      <x:c r="I91" s="31" t="str">
        <x:v>RULE-802-01</x:v>
      </x:c>
      <x:c r="J91" s="28" t="str">
        <x:v>贸易链路虚增环节检测</x:v>
      </x:c>
      <x:c r="K91" s="31" t="str">
        <x:v>关系路径</x:v>
      </x:c>
      <x:c r="L91" s="31" t="str">
        <x:v>重大</x:v>
      </x:c>
      <x:c r="M91" s="31" t="str">
        <x:v>草稿</x:v>
      </x:c>
      <x:c r="N91" s="31" t="str">
        <x:v>全部禁用</x:v>
      </x:c>
      <x:c r="O91" s="31" t="str">
        <x:v>待建设</x:v>
      </x:c>
      <x:c r="P91" s="31" t="str">
        <x:v>用户提出</x:v>
      </x:c>
      <x:c r="Q91" s="28" t="str">
        <x:v>识别两端央企、中间民企等冗余嵌套交易链路。；判定条件：链路存在冗余中间主体且无增值证据。</x:v>
      </x:c>
    </x:row>
    <x:row r="92" ht="36" customHeight="1">
      <x:c r="A92" s="31" t="n">
        <x:v>86</x:v>
      </x:c>
      <x:c r="B92" s="28" t="str">
        <x:v>供应链</x:v>
      </x:c>
      <x:c r="C92" s="28" t="str">
        <x:v>贸易背景及循环贸易</x:v>
      </x:c>
      <x:c r="D92" s="31" t="str">
        <x:v>SCENE-TRADE-006</x:v>
      </x:c>
      <x:c r="E92" s="36" t="str">
        <x:v>事中/事后</x:v>
      </x:c>
      <x:c r="F92" s="28" t="str">
        <x:v>其他异常识别</x:v>
      </x:c>
      <x:c r="G92" s="31" t="str">
        <x:v>803</x:v>
      </x:c>
      <x:c r="H92" s="28" t="str">
        <x:v>民企关联群组交易挖掘检测</x:v>
      </x:c>
      <x:c r="I92" s="31" t="str">
        <x:v>RULE-803-01</x:v>
      </x:c>
      <x:c r="J92" s="28" t="str">
        <x:v>民企关联群组交易挖掘检测</x:v>
      </x:c>
      <x:c r="K92" s="31" t="str">
        <x:v>关系路径</x:v>
      </x:c>
      <x:c r="L92" s="31" t="str">
        <x:v>重大</x:v>
      </x:c>
      <x:c r="M92" s="31" t="str">
        <x:v>草稿</x:v>
      </x:c>
      <x:c r="N92" s="31" t="str">
        <x:v>全部禁用</x:v>
      </x:c>
      <x:c r="O92" s="31" t="str">
        <x:v>待建设</x:v>
      </x:c>
      <x:c r="P92" s="31" t="str">
        <x:v>用户提出</x:v>
      </x:c>
      <x:c r="Q92" s="28" t="str">
        <x:v>通过图计算挖掘民企矩阵式集群交易和闭环关联交易。；判定条件：图社区形成高密度闭环且资金/合同同向。</x:v>
      </x:c>
    </x:row>
    <x:row r="93" ht="36" customHeight="1">
      <x:c r="A93" s="31" t="n">
        <x:v>87</x:v>
      </x:c>
      <x:c r="B93" s="28" t="str">
        <x:v>供应链</x:v>
      </x:c>
      <x:c r="C93" s="28" t="str">
        <x:v>贸易背景及循环贸易</x:v>
      </x:c>
      <x:c r="D93" s="31" t="str">
        <x:v>SCENE-TRADE-006</x:v>
      </x:c>
      <x:c r="E93" s="36" t="str">
        <x:v>事中/事后</x:v>
      </x:c>
      <x:c r="F93" s="28" t="str">
        <x:v>其他异常识别</x:v>
      </x:c>
      <x:c r="G93" s="31" t="str">
        <x:v>805</x:v>
      </x:c>
      <x:c r="H93" s="28" t="str">
        <x:v>跨主体货物异常流转链路检测</x:v>
      </x:c>
      <x:c r="I93" s="31" t="str">
        <x:v>RULE-805-01</x:v>
      </x:c>
      <x:c r="J93" s="28" t="str">
        <x:v>跨主体货物异常流转链路检测</x:v>
      </x:c>
      <x:c r="K93" s="31" t="str">
        <x:v>关系路径</x:v>
      </x:c>
      <x:c r="L93" s="31" t="str">
        <x:v>重大</x:v>
      </x:c>
      <x:c r="M93" s="31" t="str">
        <x:v>草稿</x:v>
      </x:c>
      <x:c r="N93" s="31" t="str">
        <x:v>全部禁用</x:v>
      </x:c>
      <x:c r="O93" s="31" t="str">
        <x:v>待建设</x:v>
      </x:c>
      <x:c r="P93" s="31" t="str">
        <x:v>用户提出</x:v>
      </x:c>
      <x:c r="Q93" s="28" t="str">
        <x:v>货物由央国企售予民企后回流至同集团其他主体。；判定条件：同规格货物跨主体回流集团内部。</x:v>
      </x:c>
    </x:row>
    <x:row r="94" ht="36" customHeight="1">
      <x:c r="A94" s="31" t="n">
        <x:v>88</x:v>
      </x:c>
      <x:c r="B94" s="28" t="str">
        <x:v>供应链</x:v>
      </x:c>
      <x:c r="C94" s="28" t="str">
        <x:v>虚假贸易</x:v>
      </x:c>
      <x:c r="D94" s="31" t="str">
        <x:v>SCENE-SC-006</x:v>
      </x:c>
      <x:c r="E94" s="36" t="str">
        <x:v>事后</x:v>
      </x:c>
      <x:c r="F94" s="28" t="str">
        <x:v>未绑定用户模式</x:v>
      </x:c>
      <x:c r="G94" s="31" t="str">
        <x:v>—</x:v>
      </x:c>
      <x:c r="H94" s="28" t="str">
        <x:v>未绑定用户模式</x:v>
      </x:c>
      <x:c r="I94" s="31" t="str">
        <x:v>RULE-DEMO-011</x:v>
      </x:c>
      <x:c r="J94" s="28" t="str">
        <x:v>票款齐全但物流入库验收异常</x:v>
      </x:c>
      <x:c r="K94" s="31" t="str">
        <x:v>时序</x:v>
      </x:c>
      <x:c r="L94" s="31" t="str">
        <x:v>重大</x:v>
      </x:c>
      <x:c r="M94" s="31" t="str">
        <x:v>已发布</x:v>
      </x:c>
      <x:c r="N94" s="31" t="str">
        <x:v>全部启用</x:v>
      </x:c>
      <x:c r="O94" s="31" t="str">
        <x:v>待确认</x:v>
      </x:c>
      <x:c r="P94" s="31" t="str">
        <x:v>既有系统规则</x:v>
      </x:c>
      <x:c r="Q94" s="28" t="str">
        <x:v>付款前未形成可信物流、入库和验收闭环。</x:v>
      </x:c>
    </x:row>
    <x:row r="95" ht="36" customHeight="1">
      <x:c r="A95" s="31" t="n">
        <x:v>89</x:v>
      </x:c>
      <x:c r="B95" s="28" t="str">
        <x:v>供应链</x:v>
      </x:c>
      <x:c r="C95" s="28" t="str">
        <x:v>虚假贸易</x:v>
      </x:c>
      <x:c r="D95" s="31" t="str">
        <x:v>SCENE-SC-006</x:v>
      </x:c>
      <x:c r="E95" s="36" t="str">
        <x:v>事后</x:v>
      </x:c>
      <x:c r="F95" s="28" t="str">
        <x:v>未绑定用户模式</x:v>
      </x:c>
      <x:c r="G95" s="31" t="str">
        <x:v>—</x:v>
      </x:c>
      <x:c r="H95" s="28" t="str">
        <x:v>未绑定用户模式</x:v>
      </x:c>
      <x:c r="I95" s="31" t="str">
        <x:v>RULE-DEMO-012</x:v>
      </x:c>
      <x:c r="J95" s="28" t="str">
        <x:v>付款后资金回流采购方关联主体</x:v>
      </x:c>
      <x:c r="K95" s="31" t="str">
        <x:v>关系路径</x:v>
      </x:c>
      <x:c r="L95" s="31" t="str">
        <x:v>重大</x:v>
      </x:c>
      <x:c r="M95" s="31" t="str">
        <x:v>已发布</x:v>
      </x:c>
      <x:c r="N95" s="31" t="str">
        <x:v>全部启用</x:v>
      </x:c>
      <x:c r="O95" s="31" t="str">
        <x:v>待确认</x:v>
      </x:c>
      <x:c r="P95" s="31" t="str">
        <x:v>既有系统规则</x:v>
      </x:c>
      <x:c r="Q95" s="28" t="str">
        <x:v>付款后3天内80%以上资金流向采购方关联主体。</x:v>
      </x:c>
    </x:row>
    <x:row r="96" ht="36" customHeight="1">
      <x:c r="A96" s="31" t="n">
        <x:v>90</x:v>
      </x:c>
      <x:c r="B96" s="28" t="str">
        <x:v>合同</x:v>
      </x:c>
      <x:c r="C96" s="28" t="str">
        <x:v>合同履约与变更异常</x:v>
      </x:c>
      <x:c r="D96" s="31" t="str">
        <x:v>SCENE-CONTRACT-011</x:v>
      </x:c>
      <x:c r="E96" s="36" t="str">
        <x:v>事中/事后</x:v>
      </x:c>
      <x:c r="F96" s="28" t="str">
        <x:v>合同履约补充</x:v>
      </x:c>
      <x:c r="G96" s="31" t="str">
        <x:v>HT01</x:v>
      </x:c>
      <x:c r="H96" s="28" t="str">
        <x:v>中标后合同重大变更</x:v>
      </x:c>
      <x:c r="I96" s="31" t="str">
        <x:v>RULE-HT01-01</x:v>
      </x:c>
      <x:c r="J96" s="28" t="str">
        <x:v>中标后90天内合同增幅超过20%</x:v>
      </x:c>
      <x:c r="K96" s="31" t="str">
        <x:v>聚合</x:v>
      </x:c>
      <x:c r="L96" s="31" t="str">
        <x:v>高</x:v>
      </x:c>
      <x:c r="M96" s="31" t="str">
        <x:v>草稿</x:v>
      </x:c>
      <x:c r="N96" s="31" t="str">
        <x:v>全部禁用</x:v>
      </x:c>
      <x:c r="O96" s="31" t="str">
        <x:v>已实现</x:v>
      </x:c>
      <x:c r="P96" s="31" t="str">
        <x:v>融合补充</x:v>
      </x:c>
      <x:c r="Q96" s="28" t="str">
        <x:v>中标后90天内合同累计变更金额超过原合同20%。；判定条件：90天内累计变更比例&gt;20%。</x:v>
      </x:c>
    </x:row>
    <x:row r="97" ht="36" customHeight="1">
      <x:c r="A97" s="31" t="n">
        <x:v>91</x:v>
      </x:c>
      <x:c r="B97" s="28" t="str">
        <x:v>合同</x:v>
      </x:c>
      <x:c r="C97" s="28" t="str">
        <x:v>合同履约与变更异常</x:v>
      </x:c>
      <x:c r="D97" s="31" t="str">
        <x:v>SCENE-CONTRACT-011</x:v>
      </x:c>
      <x:c r="E97" s="36" t="str">
        <x:v>事中/事后</x:v>
      </x:c>
      <x:c r="F97" s="28" t="str">
        <x:v>合同履约补充</x:v>
      </x:c>
      <x:c r="G97" s="31" t="str">
        <x:v>HT02</x:v>
      </x:c>
      <x:c r="H97" s="28" t="str">
        <x:v>验收前高比例付款</x:v>
      </x:c>
      <x:c r="I97" s="31" t="str">
        <x:v>RULE-HT02-01</x:v>
      </x:c>
      <x:c r="J97" s="28" t="str">
        <x:v>验收前累计付款超过合同80%</x:v>
      </x:c>
      <x:c r="K97" s="31" t="str">
        <x:v>聚合</x:v>
      </x:c>
      <x:c r="L97" s="31" t="str">
        <x:v>高</x:v>
      </x:c>
      <x:c r="M97" s="31" t="str">
        <x:v>草稿</x:v>
      </x:c>
      <x:c r="N97" s="31" t="str">
        <x:v>全部禁用</x:v>
      </x:c>
      <x:c r="O97" s="31" t="str">
        <x:v>已实现</x:v>
      </x:c>
      <x:c r="P97" s="31" t="str">
        <x:v>融合补充</x:v>
      </x:c>
      <x:c r="Q97" s="28" t="str">
        <x:v>验收通过前累计付款超过合同金额80%。；判定条件：未验收且累计付款比例&gt;80%。</x:v>
      </x:c>
    </x:row>
    <x:row r="98" ht="36" customHeight="1">
      <x:c r="A98" s="31" t="n">
        <x:v>92</x:v>
      </x:c>
      <x:c r="B98" s="28" t="str">
        <x:v>合同</x:v>
      </x:c>
      <x:c r="C98" s="28" t="str">
        <x:v>中标后异常合同变更</x:v>
      </x:c>
      <x:c r="D98" s="31" t="str">
        <x:v>SCENE-002</x:v>
      </x:c>
      <x:c r="E98" s="42" t="str">
        <x:v>待确认</x:v>
      </x:c>
      <x:c r="F98" s="28" t="str">
        <x:v>未绑定用户模式</x:v>
      </x:c>
      <x:c r="G98" s="31" t="str">
        <x:v>—</x:v>
      </x:c>
      <x:c r="H98" s="28" t="str">
        <x:v>未绑定用户模式</x:v>
      </x:c>
      <x:c r="I98" s="31" t="str">
        <x:v>RULE-003</x:v>
      </x:c>
      <x:c r="J98" s="28" t="str">
        <x:v>合同金额短期异常增加</x:v>
      </x:c>
      <x:c r="K98" s="31" t="str">
        <x:v>聚合</x:v>
      </x:c>
      <x:c r="L98" s="31" t="str">
        <x:v>高</x:v>
      </x:c>
      <x:c r="M98" s="31" t="str">
        <x:v>草稿</x:v>
      </x:c>
      <x:c r="N98" s="31" t="str">
        <x:v>全部启用</x:v>
      </x:c>
      <x:c r="O98" s="31" t="str">
        <x:v>待确认</x:v>
      </x:c>
      <x:c r="P98" s="31" t="str">
        <x:v>既有系统规则</x:v>
      </x:c>
      <x:c r="Q98" s="28" t="str">
        <x:v>合同变更金额累计超过阈值时生成高风险预警。</x:v>
      </x:c>
    </x:row>
    <x:row r="99" ht="36" customHeight="1">
      <x:c r="A99" s="31" t="n">
        <x:v>93</x:v>
      </x:c>
      <x:c r="B99" s="28" t="str">
        <x:v>合同</x:v>
      </x:c>
      <x:c r="C99" s="28" t="str">
        <x:v>中标后异常合同变更与超前付款</x:v>
      </x:c>
      <x:c r="D99" s="31" t="str">
        <x:v>SCENE-CON-007</x:v>
      </x:c>
      <x:c r="E99" s="36" t="str">
        <x:v>事后</x:v>
      </x:c>
      <x:c r="F99" s="28" t="str">
        <x:v>未绑定用户模式</x:v>
      </x:c>
      <x:c r="G99" s="31" t="str">
        <x:v>—</x:v>
      </x:c>
      <x:c r="H99" s="28" t="str">
        <x:v>未绑定用户模式</x:v>
      </x:c>
      <x:c r="I99" s="31" t="str">
        <x:v>RULE-DEMO-013</x:v>
      </x:c>
      <x:c r="J99" s="28" t="str">
        <x:v>中标后90天内合同增幅超过20%</x:v>
      </x:c>
      <x:c r="K99" s="31" t="str">
        <x:v>聚合</x:v>
      </x:c>
      <x:c r="L99" s="31" t="str">
        <x:v>高</x:v>
      </x:c>
      <x:c r="M99" s="31" t="str">
        <x:v>已发布</x:v>
      </x:c>
      <x:c r="N99" s="31" t="str">
        <x:v>全部启用</x:v>
      </x:c>
      <x:c r="O99" s="31" t="str">
        <x:v>待确认</x:v>
      </x:c>
      <x:c r="P99" s="31" t="str">
        <x:v>既有系统规则</x:v>
      </x:c>
      <x:c r="Q99" s="28" t="str">
        <x:v>中标或签约后90天内累计合同增幅超过20%。</x:v>
      </x:c>
    </x:row>
    <x:row r="100" ht="36" customHeight="1">
      <x:c r="A100" s="31" t="n">
        <x:v>94</x:v>
      </x:c>
      <x:c r="B100" s="28" t="str">
        <x:v>合同</x:v>
      </x:c>
      <x:c r="C100" s="28" t="str">
        <x:v>中标后异常合同变更与超前付款</x:v>
      </x:c>
      <x:c r="D100" s="31" t="str">
        <x:v>SCENE-CON-007</x:v>
      </x:c>
      <x:c r="E100" s="36" t="str">
        <x:v>事后</x:v>
      </x:c>
      <x:c r="F100" s="28" t="str">
        <x:v>未绑定用户模式</x:v>
      </x:c>
      <x:c r="G100" s="31" t="str">
        <x:v>—</x:v>
      </x:c>
      <x:c r="H100" s="28" t="str">
        <x:v>未绑定用户模式</x:v>
      </x:c>
      <x:c r="I100" s="31" t="str">
        <x:v>RULE-DEMO-014</x:v>
      </x:c>
      <x:c r="J100" s="28" t="str">
        <x:v>验收前累计付款超过合同80%</x:v>
      </x:c>
      <x:c r="K100" s="31" t="str">
        <x:v>时序</x:v>
      </x:c>
      <x:c r="L100" s="31" t="str">
        <x:v>高</x:v>
      </x:c>
      <x:c r="M100" s="31" t="str">
        <x:v>已发布</x:v>
      </x:c>
      <x:c r="N100" s="31" t="str">
        <x:v>全部启用</x:v>
      </x:c>
      <x:c r="O100" s="31" t="str">
        <x:v>待确认</x:v>
      </x:c>
      <x:c r="P100" s="31" t="str">
        <x:v>既有系统规则</x:v>
      </x:c>
      <x:c r="Q100" s="28" t="str">
        <x:v>验收通过前累计付款比例超过80%。</x:v>
      </x:c>
    </x:row>
    <x:row r="101" ht="36" customHeight="1">
      <x:c r="A101" s="31" t="n">
        <x:v>95</x:v>
      </x:c>
      <x:c r="B101" s="28" t="str">
        <x:v>合同/供应链</x:v>
      </x:c>
      <x:c r="C101" s="28" t="str">
        <x:v>合同订单及价格异常</x:v>
      </x:c>
      <x:c r="D101" s="31" t="str">
        <x:v>SCENE-ORDER-007</x:v>
      </x:c>
      <x:c r="E101" s="36" t="str">
        <x:v>事前/事中/事后</x:v>
      </x:c>
      <x:c r="F101" s="28" t="str">
        <x:v>合同订单异常识别</x:v>
      </x:c>
      <x:c r="G101" s="31" t="str">
        <x:v>201</x:v>
      </x:c>
      <x:c r="H101" s="28" t="str">
        <x:v>贸易超低毛利异常检测</x:v>
      </x:c>
      <x:c r="I101" s="31" t="str">
        <x:v>RULE-201-01</x:v>
      </x:c>
      <x:c r="J101" s="28" t="str">
        <x:v>贸易超低毛利异常检测</x:v>
      </x:c>
      <x:c r="K101" s="31" t="str">
        <x:v>聚合</x:v>
      </x:c>
      <x:c r="L101" s="31" t="str">
        <x:v>高</x:v>
      </x:c>
      <x:c r="M101" s="31" t="str">
        <x:v>草稿</x:v>
      </x:c>
      <x:c r="N101" s="31" t="str">
        <x:v>全部禁用</x:v>
      </x:c>
      <x:c r="O101" s="31" t="str">
        <x:v>待建设</x:v>
      </x:c>
      <x:c r="P101" s="31" t="str">
        <x:v>用户提出</x:v>
      </x:c>
      <x:c r="Q101" s="28" t="str">
        <x:v>单笔贸易毛利率低于0.1%。；判定条件：毛利率&lt;0.1%。</x:v>
      </x:c>
    </x:row>
    <x:row r="102" ht="36" customHeight="1">
      <x:c r="A102" s="31" t="n">
        <x:v>96</x:v>
      </x:c>
      <x:c r="B102" s="28" t="str">
        <x:v>合同/供应链</x:v>
      </x:c>
      <x:c r="C102" s="28" t="str">
        <x:v>合同订单及价格异常</x:v>
      </x:c>
      <x:c r="D102" s="31" t="str">
        <x:v>SCENE-ORDER-007</x:v>
      </x:c>
      <x:c r="E102" s="36" t="str">
        <x:v>事前/事中/事后</x:v>
      </x:c>
      <x:c r="F102" s="28" t="str">
        <x:v>合同订单异常识别</x:v>
      </x:c>
      <x:c r="G102" s="31" t="str">
        <x:v>202</x:v>
      </x:c>
      <x:c r="H102" s="28" t="str">
        <x:v>同货同量小额价差采销检测</x:v>
      </x:c>
      <x:c r="I102" s="31" t="str">
        <x:v>RULE-202-01</x:v>
      </x:c>
      <x:c r="J102" s="28" t="str">
        <x:v>同货同量小额价差采销检测</x:v>
      </x:c>
      <x:c r="K102" s="31" t="str">
        <x:v>聚合</x:v>
      </x:c>
      <x:c r="L102" s="31" t="str">
        <x:v>重大</x:v>
      </x:c>
      <x:c r="M102" s="31" t="str">
        <x:v>草稿</x:v>
      </x:c>
      <x:c r="N102" s="31" t="str">
        <x:v>全部禁用</x:v>
      </x:c>
      <x:c r="O102" s="31" t="str">
        <x:v>已有演示明细，待规则化</x:v>
      </x:c>
      <x:c r="P102" s="31" t="str">
        <x:v>用户提出</x:v>
      </x:c>
      <x:c r="Q102" s="28" t="str">
        <x:v>货物品类和数量一致，购销金额差值低于0.01%。；判定条件：数量一致且金额差值率&lt;0.01%。</x:v>
      </x:c>
    </x:row>
    <x:row r="103" ht="36" customHeight="1">
      <x:c r="A103" s="31" t="n">
        <x:v>97</x:v>
      </x:c>
      <x:c r="B103" s="28" t="str">
        <x:v>合同/供应链</x:v>
      </x:c>
      <x:c r="C103" s="28" t="str">
        <x:v>合同订单及价格异常</x:v>
      </x:c>
      <x:c r="D103" s="31" t="str">
        <x:v>SCENE-ORDER-007</x:v>
      </x:c>
      <x:c r="E103" s="36" t="str">
        <x:v>事前/事中/事后</x:v>
      </x:c>
      <x:c r="F103" s="28" t="str">
        <x:v>合同订单异常识别</x:v>
      </x:c>
      <x:c r="G103" s="31" t="str">
        <x:v>203</x:v>
      </x:c>
      <x:c r="H103" s="28" t="str">
        <x:v>低价差长账期融资贸易检测</x:v>
      </x:c>
      <x:c r="I103" s="31" t="str">
        <x:v>RULE-203-01</x:v>
      </x:c>
      <x:c r="J103" s="28" t="str">
        <x:v>低价差长账期融资贸易检测</x:v>
      </x:c>
      <x:c r="K103" s="31" t="str">
        <x:v>聚合</x:v>
      </x:c>
      <x:c r="L103" s="31" t="str">
        <x:v>高</x:v>
      </x:c>
      <x:c r="M103" s="31" t="str">
        <x:v>草稿</x:v>
      </x:c>
      <x:c r="N103" s="31" t="str">
        <x:v>全部禁用</x:v>
      </x:c>
      <x:c r="O103" s="31" t="str">
        <x:v>待建设</x:v>
      </x:c>
      <x:c r="P103" s="31" t="str">
        <x:v>用户提出</x:v>
      </x:c>
      <x:c r="Q103" s="28" t="str">
        <x:v>购销价差低于0.5%且账期超过90天。；判定条件：价差率&lt;0.5%且账期&gt;90天。</x:v>
      </x:c>
    </x:row>
    <x:row r="104" ht="36" customHeight="1">
      <x:c r="A104" s="31" t="n">
        <x:v>98</x:v>
      </x:c>
      <x:c r="B104" s="28" t="str">
        <x:v>合同/供应链</x:v>
      </x:c>
      <x:c r="C104" s="28" t="str">
        <x:v>合同订单及价格异常</x:v>
      </x:c>
      <x:c r="D104" s="31" t="str">
        <x:v>SCENE-ORDER-007</x:v>
      </x:c>
      <x:c r="E104" s="40" t="str">
        <x:v>事前/事中</x:v>
      </x:c>
      <x:c r="F104" s="28" t="str">
        <x:v>合同订单异常识别</x:v>
      </x:c>
      <x:c r="G104" s="31" t="str">
        <x:v>204</x:v>
      </x:c>
      <x:c r="H104" s="28" t="str">
        <x:v>短期商品价格突变异常检测</x:v>
      </x:c>
      <x:c r="I104" s="31" t="str">
        <x:v>RULE-204-01</x:v>
      </x:c>
      <x:c r="J104" s="28" t="str">
        <x:v>短期商品价格突变异常检测</x:v>
      </x:c>
      <x:c r="K104" s="31" t="str">
        <x:v>聚合</x:v>
      </x:c>
      <x:c r="L104" s="31" t="str">
        <x:v>高</x:v>
      </x:c>
      <x:c r="M104" s="31" t="str">
        <x:v>草稿</x:v>
      </x:c>
      <x:c r="N104" s="31" t="str">
        <x:v>全部禁用</x:v>
      </x:c>
      <x:c r="O104" s="31" t="str">
        <x:v>待建设</x:v>
      </x:c>
      <x:c r="P104" s="31" t="str">
        <x:v>用户提出</x:v>
      </x:c>
      <x:c r="Q104" s="28" t="str">
        <x:v>24小时内同客户、同商品单价变化超过±8%。；判定条件：24小时价格波动绝对值&gt;8%。</x:v>
      </x:c>
    </x:row>
    <x:row r="105" ht="36" customHeight="1">
      <x:c r="A105" s="31" t="n">
        <x:v>99</x:v>
      </x:c>
      <x:c r="B105" s="28" t="str">
        <x:v>合同/供应链</x:v>
      </x:c>
      <x:c r="C105" s="28" t="str">
        <x:v>合同订单及价格异常</x:v>
      </x:c>
      <x:c r="D105" s="31" t="str">
        <x:v>SCENE-ORDER-007</x:v>
      </x:c>
      <x:c r="E105" s="40" t="str">
        <x:v>事前/事中</x:v>
      </x:c>
      <x:c r="F105" s="28" t="str">
        <x:v>价格异常识别</x:v>
      </x:c>
      <x:c r="G105" s="31" t="str">
        <x:v>A01</x:v>
      </x:c>
      <x:c r="H105" s="28" t="str">
        <x:v>纵向历史价格异常检测</x:v>
      </x:c>
      <x:c r="I105" s="31" t="str">
        <x:v>RULE-A01-01</x:v>
      </x:c>
      <x:c r="J105" s="28" t="str">
        <x:v>纵向历史价格异常检测</x:v>
      </x:c>
      <x:c r="K105" s="31" t="str">
        <x:v>聚合</x:v>
      </x:c>
      <x:c r="L105" s="31" t="str">
        <x:v>高</x:v>
      </x:c>
      <x:c r="M105" s="31" t="str">
        <x:v>草稿</x:v>
      </x:c>
      <x:c r="N105" s="31" t="str">
        <x:v>全部禁用</x:v>
      </x:c>
      <x:c r="O105" s="31" t="str">
        <x:v>待建设</x:v>
      </x:c>
      <x:c r="P105" s="31" t="str">
        <x:v>用户提出</x:v>
      </x:c>
      <x:c r="Q105" s="28" t="str">
        <x:v>同一供应商同一标的物价格较历史基准偏离超过20%。；判定条件：与同供应商历史基准价偏离&gt;20%。</x:v>
      </x:c>
    </x:row>
    <x:row r="106" ht="36" customHeight="1">
      <x:c r="A106" s="32" t="n">
        <x:v>100</x:v>
      </x:c>
      <x:c r="B106" s="29" t="str">
        <x:v>合同/供应链</x:v>
      </x:c>
      <x:c r="C106" s="29" t="str">
        <x:v>合同订单及价格异常</x:v>
      </x:c>
      <x:c r="D106" s="32" t="str">
        <x:v>SCENE-ORDER-007</x:v>
      </x:c>
      <x:c r="E106" s="44" t="str">
        <x:v>事前/事中</x:v>
      </x:c>
      <x:c r="F106" s="29" t="str">
        <x:v>价格异常识别</x:v>
      </x:c>
      <x:c r="G106" s="32" t="str">
        <x:v>A02</x:v>
      </x:c>
      <x:c r="H106" s="29" t="str">
        <x:v>横向同业价格异常检测</x:v>
      </x:c>
      <x:c r="I106" s="32" t="str">
        <x:v>RULE-A02-01</x:v>
      </x:c>
      <x:c r="J106" s="29" t="str">
        <x:v>横向同业价格异常检测</x:v>
      </x:c>
      <x:c r="K106" s="32" t="str">
        <x:v>聚合</x:v>
      </x:c>
      <x:c r="L106" s="32" t="str">
        <x:v>高</x:v>
      </x:c>
      <x:c r="M106" s="32" t="str">
        <x:v>草稿</x:v>
      </x:c>
      <x:c r="N106" s="32" t="str">
        <x:v>全部禁用</x:v>
      </x:c>
      <x:c r="O106" s="32" t="str">
        <x:v>待接外部数据</x:v>
      </x:c>
      <x:c r="P106" s="32" t="str">
        <x:v>用户提出</x:v>
      </x:c>
      <x:c r="Q106" s="29" t="str">
        <x:v>规格标准化后，不同供应商同一标的物价格差异超过20%。；判定条件：与同批次供应商中位价偏离&gt;20%。</x:v>
      </x:c>
    </x:row>
  </x:sheetData>
  <x:mergeCells>
    <x:mergeCell ref="A1:Q1"/>
    <x:mergeCell ref="A2:Q2"/>
    <x:mergeCell ref="A4:Q4"/>
  </x:mergeCells>
  <x:pageMargins left="0.7" right="0.7" top="0.75" bottom="0.75" header="0.3" footer="0.3"/>
  <x:tableParts count="1">
    <x:tablePart xmlns:r="http://schemas.openxmlformats.org/officeDocument/2006/relationships" r:id="R6d3289e527a24e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2" hidden="0" customWidth="1"/>
    <x:col min="5" max="5" width="14" hidden="0" customWidth="1"/>
    <x:col min="6" max="6" width="20" hidden="0" customWidth="1"/>
    <x:col min="7" max="7" width="15" hidden="0" customWidth="1"/>
    <x:col min="8" max="8" width="28" hidden="0" customWidth="1"/>
    <x:col min="9" max="9" width="20" hidden="0" customWidth="1"/>
    <x:col min="10" max="10" width="2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8" hidden="0" customWidth="1"/>
  </x:cols>
  <x:sheetData>
    <x:row r="1" ht="34" customHeight="1">
      <x:c r="A1" s="4" t="str">
        <x:v>智能能力清单（不进入普通规则引擎）</x:v>
      </x:c>
    </x:row>
    <x:row r="2" ht="30" customHeight="1">
      <x:c r="A2" s="9" t="str">
        <x:v>数据来源：当前运行服务连接的 MySQL 数据库；生成时间：2026-07-22 10:36:05。M101、M102 等能力单独展示，不计入普通规则资产总数。</x:v>
      </x:c>
    </x:row>
    <x:row r="6" ht="30" customHeight="1">
      <x:c r="A6" s="19" t="str">
        <x:v>序号</x:v>
      </x:c>
      <x:c r="B6" s="19" t="str">
        <x:v>领域</x:v>
      </x:c>
      <x:c r="C6" s="19" t="str">
        <x:v>风险场景</x:v>
      </x:c>
      <x:c r="D6" s="19" t="str">
        <x:v>场景编号</x:v>
      </x:c>
      <x:c r="E6" s="19" t="str">
        <x:v>事前/事中/事后</x:v>
      </x:c>
      <x:c r="F6" s="19" t="str">
        <x:v>模式类目</x:v>
      </x:c>
      <x:c r="G6" s="19" t="str">
        <x:v>用户模式编号</x:v>
      </x:c>
      <x:c r="H6" s="19" t="str">
        <x:v>用户模式名称</x:v>
      </x:c>
      <x:c r="I6" s="19" t="str">
        <x:v>能力编号</x:v>
      </x:c>
      <x:c r="J6" s="19" t="str">
        <x:v>能力名称</x:v>
      </x:c>
      <x:c r="K6" s="19" t="str">
        <x:v>风险等级</x:v>
      </x:c>
      <x:c r="L6" s="19" t="str">
        <x:v>状态</x:v>
      </x:c>
      <x:c r="M6" s="19" t="str">
        <x:v>启用情况</x:v>
      </x:c>
      <x:c r="N6" s="19" t="str">
        <x:v>建设/覆盖状态</x:v>
      </x:c>
      <x:c r="O6" s="19" t="str">
        <x:v>能力说明</x:v>
      </x:c>
    </x:row>
    <x:row r="7" ht="36" customHeight="1">
      <x:c r="A7" s="27" t="n">
        <x:v>1</x:v>
      </x:c>
      <x:c r="B7" s="27" t="str">
        <x:v>采购/合同</x:v>
      </x:c>
      <x:c r="C7" s="27" t="str">
        <x:v>智能评标与合同审查</x:v>
      </x:c>
      <x:c r="D7" s="27" t="str">
        <x:v>SCENE-AI-012</x:v>
      </x:c>
      <x:c r="E7" s="47" t="str">
        <x:v>事前/事中</x:v>
      </x:c>
      <x:c r="F7" s="27" t="str">
        <x:v>合同审查</x:v>
      </x:c>
      <x:c r="G7" s="27" t="str">
        <x:v>M102</x:v>
      </x:c>
      <x:c r="H7" s="27" t="str">
        <x:v>合同风险审查</x:v>
      </x:c>
      <x:c r="I7" s="27" t="str">
        <x:v>RULE-M102-01</x:v>
      </x:c>
      <x:c r="J7" s="27" t="str">
        <x:v>合同法律与履约风险智能审查</x:v>
      </x:c>
      <x:c r="K7" s="27" t="str">
        <x:v>高</x:v>
      </x:c>
      <x:c r="L7" s="27" t="str">
        <x:v>草稿</x:v>
      </x:c>
      <x:c r="M7" s="27" t="str">
        <x:v>未启用</x:v>
      </x:c>
      <x:c r="N7" s="27" t="str">
        <x:v>待建设</x:v>
      </x:c>
      <x:c r="O7" s="27" t="str">
        <x:v>识别合同法律、付款、履约、违约及权责不对等风险并给出修改建议。</x:v>
      </x:c>
    </x:row>
    <x:row r="8" ht="36" customHeight="1">
      <x:c r="A8" s="29" t="n">
        <x:v>2</x:v>
      </x:c>
      <x:c r="B8" s="29" t="str">
        <x:v>采购/合同</x:v>
      </x:c>
      <x:c r="C8" s="29" t="str">
        <x:v>智能评标与合同审查</x:v>
      </x:c>
      <x:c r="D8" s="29" t="str">
        <x:v>SCENE-AI-012</x:v>
      </x:c>
      <x:c r="E8" s="44" t="str">
        <x:v>事中</x:v>
      </x:c>
      <x:c r="F8" s="29" t="str">
        <x:v>智能分析能力</x:v>
      </x:c>
      <x:c r="G8" s="29" t="str">
        <x:v>M101</x:v>
      </x:c>
      <x:c r="H8" s="29" t="str">
        <x:v>智能评标</x:v>
      </x:c>
      <x:c r="I8" s="29" t="str">
        <x:v>RULE-M101-01</x:v>
      </x:c>
      <x:c r="J8" s="29" t="str">
        <x:v>投标主体智能综合评标</x:v>
      </x:c>
      <x:c r="K8" s="29" t="str">
        <x:v>高</x:v>
      </x:c>
      <x:c r="L8" s="29" t="str">
        <x:v>草稿</x:v>
      </x:c>
      <x:c r="M8" s="29" t="str">
        <x:v>未启用</x:v>
      </x:c>
      <x:c r="N8" s="29" t="str">
        <x:v>已实现</x:v>
      </x:c>
      <x:c r="O8" s="29" t="str">
        <x:v>输出投标主体综合评分、风险评级和合作建议。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22db821e6cd4e21"/>
  </x:tableParts>
</x:worksheet>
</file>