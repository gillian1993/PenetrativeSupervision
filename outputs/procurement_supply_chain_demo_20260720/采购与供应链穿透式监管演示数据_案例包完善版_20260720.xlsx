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5b0319c3fa4702" /></Relationships>
</file>

<file path=xl/workbook.xml><?xml version="1.0" encoding="utf-8"?>
<x:workbook xmlns:x="http://schemas.openxmlformats.org/spreadsheetml/2006/main">
  <x:sheets>
    <x:sheet xmlns:r="http://schemas.openxmlformats.org/officeDocument/2006/relationships" name="演示看板" sheetId="1" r:id="Rc7016d9805a94b96"/>
    <x:sheet xmlns:r="http://schemas.openxmlformats.org/officeDocument/2006/relationships" name="案例总览" sheetId="2" r:id="R3ae78bdf68ec4371"/>
    <x:sheet xmlns:r="http://schemas.openxmlformats.org/officeDocument/2006/relationships" name="参数字典" sheetId="3" r:id="R4378e1b1e6844122"/>
    <x:sheet xmlns:r="http://schemas.openxmlformats.org/officeDocument/2006/relationships" name="本体定义" sheetId="4" r:id="R6e6e7743e1f24946"/>
    <x:sheet xmlns:r="http://schemas.openxmlformats.org/officeDocument/2006/relationships" name="图谱版本" sheetId="5" r:id="Raddae3f5fa5a4859"/>
    <x:sheet xmlns:r="http://schemas.openxmlformats.org/officeDocument/2006/relationships" name="图谱节点" sheetId="6" r:id="Rc0b19f12e00d4979"/>
    <x:sheet xmlns:r="http://schemas.openxmlformats.org/officeDocument/2006/relationships" name="图谱关系" sheetId="7" r:id="Rc32be9f9018b40d0"/>
    <x:sheet xmlns:r="http://schemas.openxmlformats.org/officeDocument/2006/relationships" name="业务事件" sheetId="8" r:id="R153ce52380564d52"/>
    <x:sheet xmlns:r="http://schemas.openxmlformats.org/officeDocument/2006/relationships" name="风险场景" sheetId="9" r:id="R3383a6ae9b2643b2"/>
    <x:sheet xmlns:r="http://schemas.openxmlformats.org/officeDocument/2006/relationships" name="风险规则" sheetId="10" r:id="Rd03f12ed9f4747d2"/>
    <x:sheet xmlns:r="http://schemas.openxmlformats.org/officeDocument/2006/relationships" name="场景规则绑定" sheetId="11" r:id="Rf8656d8a9c7a4165"/>
    <x:sheet xmlns:r="http://schemas.openxmlformats.org/officeDocument/2006/relationships" name="规则执行" sheetId="12" r:id="R160c35ece9c6463f"/>
    <x:sheet xmlns:r="http://schemas.openxmlformats.org/officeDocument/2006/relationships" name="预警结果" sheetId="13" r:id="R02e4da1127914e6c"/>
    <x:sheet xmlns:r="http://schemas.openxmlformats.org/officeDocument/2006/relationships" name="证据链" sheetId="14" r:id="R4a46a5fd8e844e6e"/>
    <x:sheet xmlns:r="http://schemas.openxmlformats.org/officeDocument/2006/relationships" name="数据源映射" sheetId="15" r:id="R012360a984354e63"/>
    <x:sheet xmlns:r="http://schemas.openxmlformats.org/officeDocument/2006/relationships" name="入库建议" sheetId="16" r:id="Re8d78d3fcade4167"/>
    <x:sheet xmlns:r="http://schemas.openxmlformats.org/officeDocument/2006/relationships" name="风险模式库" sheetId="17" r:id="Ra39c03ca98ac4254"/>
    <x:sheet xmlns:r="http://schemas.openxmlformats.org/officeDocument/2006/relationships" name="模式案例映射" sheetId="18" r:id="R10ce3ed2ce024896"/>
    <x:sheet xmlns:r="http://schemas.openxmlformats.org/officeDocument/2006/relationships" name="案例包详情" sheetId="19" r:id="Re87ed7ed5e494dd8"/>
    <x:sheet xmlns:r="http://schemas.openxmlformats.org/officeDocument/2006/relationships" name="案例包规则映射" sheetId="20" r:id="Rd8423ddf8db94ab7"/>
    <x:sheet xmlns:r="http://schemas.openxmlformats.org/officeDocument/2006/relationships" name="智能评标结果" sheetId="21" r:id="Rf350041c77c64ca0"/>
    <x:sheet xmlns:r="http://schemas.openxmlformats.org/officeDocument/2006/relationships" name="循环贸易明细" sheetId="22" r:id="R41c98e90a2bd466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
    <x:numFmt numFmtId="202" formatCode="yyyy-mm-dd hh:mm"/>
    <x:numFmt numFmtId="203" formatCode="0"/>
    <x:numFmt numFmtId="204" formatCode="0.00%"/>
    <x:numFmt numFmtId="205" formatCode="#,##0.00"/>
  </x:numFmts>
  <x:fonts count="14">
    <x:font>
      <x:sz val="11"/>
      <x:name val="Carlito"/>
    </x:font>
    <x:font>
      <x:b/>
      <x:sz val="16"/>
      <x:color rgb="FFFFFFFF"/>
      <x:name val="Microsoft YaHei"/>
    </x:font>
    <x:font>
      <x:i/>
      <x:sz val="10"/>
      <x:color rgb="FF1F2937"/>
      <x:name val="Microsoft YaHei"/>
    </x:font>
    <x:font>
      <x:b/>
      <x:sz val="10"/>
      <x:color rgb="FFFFFFFF"/>
      <x:name val="Microsoft YaHei"/>
    </x:font>
    <x:font>
      <x:sz val="9"/>
      <x:color rgb="FF1F2937"/>
      <x:name val="Microsoft YaHei"/>
    </x:font>
    <x:font>
      <x:b/>
      <x:sz val="18"/>
      <x:color rgb="FFFFFFFF"/>
      <x:name val="Microsoft YaHei"/>
    </x:font>
    <x:font>
      <x:i/>
      <x:sz val="11"/>
      <x:color rgb="FF1F2937"/>
      <x:name val="Microsoft YaHei"/>
    </x:font>
    <x:font>
      <x:b/>
      <x:sz val="20"/>
      <x:color rgb="FF17365D"/>
      <x:name val="Microsoft YaHei"/>
    </x:font>
    <x:font>
      <x:b/>
      <x:sz val="11"/>
      <x:color rgb="FFFFFFFF"/>
      <x:name val="Microsoft YaHei"/>
    </x:font>
    <x:font>
      <x:sz val="10"/>
      <x:name val="Microsoft YaHei"/>
    </x:font>
    <x:font>
      <x:sz val="9"/>
      <x:name val="Microsoft YaHei"/>
    </x:font>
    <x:font>
      <x:b/>
      <x:sz val="11"/>
      <x:color rgb="FF7F6000"/>
      <x:name val="Microsoft YaHei"/>
    </x:font>
    <x:font>
      <x:b/>
      <x:sz val="20"/>
      <x:color rgb="FF7030A0"/>
      <x:name val="Microsoft YaHei"/>
    </x:font>
    <x:font>
      <x:b/>
      <x:sz val="10"/>
      <x:color rgb="FF7030A0"/>
      <x:name val="Microsoft YaHei"/>
    </x:font>
  </x:fonts>
  <x:fills count="21">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0F6B78"/>
      </x:patternFill>
    </x:fill>
    <x:fill>
      <x:patternFill patternType="solid">
        <x:fgColor rgb="FF548235"/>
      </x:patternFill>
    </x:fill>
    <x:fill>
      <x:patternFill patternType="solid">
        <x:fgColor rgb="FFBF8F00"/>
      </x:patternFill>
    </x:fill>
    <x:fill>
      <x:patternFill patternType="solid">
        <x:fgColor rgb="FFC65911"/>
      </x:patternFill>
    </x:fill>
    <x:fill>
      <x:patternFill patternType="solid">
        <x:fgColor rgb="FFC00000"/>
      </x:patternFill>
    </x:fill>
    <x:fill>
      <x:patternFill patternType="solid">
        <x:fgColor rgb="FFF8FBFE"/>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F8FBFE"/>
      </x:patternFill>
    </x:fill>
    <x:fill>
      <x:patternFill patternType="solid">
        <x:fgColor rgb="FFE4DFEC"/>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0F6B78"/>
      </x:patternFill>
    </x:fill>
  </x:fills>
  <x:borders count="29">
    <x:border/>
    <x:border>
      <x:left style="thin">
        <x:color rgb="FFD0D7DE"/>
      </x:left>
      <x:top style="thin">
        <x:color rgb="FFD0D7DE"/>
      </x:top>
      <x:bottom style="thin">
        <x:color rgb="FFD0D7DE"/>
      </x:bottom>
    </x:border>
    <x:border>
      <x:top style="thin">
        <x:color rgb="FFD0D7DE"/>
      </x:top>
      <x:bottom style="thin">
        <x:color rgb="FFD0D7DE"/>
      </x:bottom>
    </x:border>
    <x:border>
      <x:right style="thin">
        <x:color rgb="FFD0D7DE"/>
      </x:right>
      <x:top style="thin">
        <x:color rgb="FFD0D7DE"/>
      </x:top>
      <x:bottom style="thin">
        <x:color rgb="FFD0D7DE"/>
      </x:bottom>
    </x:border>
    <x:border>
      <x:bottom style="thin">
        <x:color rgb="FFE6E8EB"/>
      </x:bottom>
    </x:border>
    <x:border>
      <x:top style="thin">
        <x:color rgb="FFE6E8EB"/>
      </x:top>
      <x:bottom style="thin">
        <x:color rgb="FFE6E8EB"/>
      </x:bottom>
    </x:border>
    <x:border>
      <x:top style="thin">
        <x:color rgb="FFE6E8EB"/>
      </x:top>
      <x:bottom style="thin">
        <x:color rgb="FFD0D7DE"/>
      </x:bottom>
    </x:border>
    <x:border>
      <x:bottom style="thin">
        <x:color rgb="FFD0D7DE"/>
      </x:bottom>
    </x:border>
    <x:border>
      <x:left style="thin">
        <x:color rgb="FFD0D7DE"/>
      </x:left>
      <x:top style="thin">
        <x:color rgb="FFD0D7DE"/>
      </x:top>
    </x:border>
    <x:border>
      <x:right style="thin">
        <x:color rgb="FFD0D7DE"/>
      </x:right>
      <x:top style="thin">
        <x:color rgb="FFD0D7DE"/>
      </x:top>
    </x:border>
    <x:border>
      <x:left style="thin">
        <x:color rgb="FFD0D7DE"/>
      </x:left>
      <x:bottom style="thin">
        <x:color rgb="FFD0D7DE"/>
      </x:bottom>
    </x:border>
    <x:border>
      <x:right style="thin">
        <x:color rgb="FFD0D7DE"/>
      </x:right>
      <x:bottom style="thin">
        <x:color rgb="FFD0D7DE"/>
      </x:bottom>
    </x:border>
    <x:border>
      <x:left style="thin">
        <x:color rgb="FFD0D7DE"/>
      </x:left>
      <x:right style="thin">
        <x:color rgb="FFD0D7DE"/>
      </x:right>
      <x:top style="thin">
        <x:color rgb="FFD0D7DE"/>
      </x:top>
      <x:bottom style="thin">
        <x:color rgb="FFD0D7DE"/>
      </x:bottom>
    </x:border>
    <x:border>
      <x:left style="medium">
        <x:color rgb="FFBF8F00"/>
      </x:left>
      <x:top style="medium">
        <x:color rgb="FFBF8F00"/>
      </x:top>
    </x:border>
    <x:border>
      <x:top style="medium">
        <x:color rgb="FFBF8F00"/>
      </x:top>
    </x:border>
    <x:border>
      <x:right style="medium">
        <x:color rgb="FFBF8F00"/>
      </x:right>
      <x:top style="medium">
        <x:color rgb="FFBF8F00"/>
      </x:top>
    </x:border>
    <x:border>
      <x:left style="medium">
        <x:color rgb="FFBF8F00"/>
      </x:left>
    </x:border>
    <x:border>
      <x:right style="medium">
        <x:color rgb="FFBF8F00"/>
      </x:right>
    </x:border>
    <x:border>
      <x:left style="medium">
        <x:color rgb="FFBF8F00"/>
      </x:left>
      <x:bottom style="medium">
        <x:color rgb="FFBF8F00"/>
      </x:bottom>
    </x:border>
    <x:border>
      <x:bottom style="medium">
        <x:color rgb="FFBF8F00"/>
      </x:bottom>
    </x:border>
    <x:border>
      <x:right style="medium">
        <x:color rgb="FFBF8F00"/>
      </x:right>
      <x:bottom style="medium">
        <x:color rgb="FFBF8F00"/>
      </x:bottom>
    </x:border>
    <x:border>
      <x:left style="thin">
        <x:color rgb="FF7030A0"/>
      </x:left>
      <x:top style="thin">
        <x:color rgb="FF7030A0"/>
      </x:top>
    </x:border>
    <x:border>
      <x:top style="thin">
        <x:color rgb="FF7030A0"/>
      </x:top>
    </x:border>
    <x:border>
      <x:right style="thin">
        <x:color rgb="FF7030A0"/>
      </x:right>
      <x:top style="thin">
        <x:color rgb="FF7030A0"/>
      </x:top>
    </x:border>
    <x:border>
      <x:left style="thin">
        <x:color rgb="FF7030A0"/>
      </x:left>
    </x:border>
    <x:border>
      <x:right style="thin">
        <x:color rgb="FF7030A0"/>
      </x:right>
    </x:border>
    <x:border>
      <x:left style="thin">
        <x:color rgb="FF7030A0"/>
      </x:left>
      <x:bottom style="thin">
        <x:color rgb="FF7030A0"/>
      </x:bottom>
    </x:border>
    <x:border>
      <x:bottom style="thin">
        <x:color rgb="FF7030A0"/>
      </x:bottom>
    </x:border>
    <x:border>
      <x:right style="thin">
        <x:color rgb="FF7030A0"/>
      </x:right>
      <x:bottom style="thin">
        <x:color rgb="FF7030A0"/>
      </x:bottom>
    </x:border>
  </x:borders>
  <x:cellStyleXfs count="1">
    <x:xf numFmtId="0" fontId="0" fillId="0" borderId="0"/>
  </x:cellStyleXfs>
  <x:cellXfs count="3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200" fontId="4" fillId="0" borderId="5" xfId="0" applyNumberFormat="1" applyFont="1" applyFill="1" applyBorder="1" applyAlignment="1">
      <x:alignment vertical="top" wrapText="1"/>
    </x:xf>
    <x:xf numFmtId="200" fontId="4" fillId="0" borderId="6" xfId="0" applyNumberFormat="1" applyFont="1" applyFill="1" applyBorder="1" applyAlignment="1">
      <x:alignment vertical="top" wrapText="1"/>
    </x:xf>
    <x:xf numFmtId="200" fontId="4" fillId="0" borderId="4" xfId="0" applyNumberFormat="1" applyFont="1" applyFill="1" applyBorder="1" applyAlignment="1">
      <x:alignment horizontal="right" vertical="top" wrapText="1"/>
    </x:xf>
    <x:xf numFmtId="200" fontId="4" fillId="0" borderId="5" xfId="0" applyNumberFormat="1" applyFont="1" applyFill="1" applyBorder="1" applyAlignment="1">
      <x:alignment horizontal="right" vertical="top" wrapText="1"/>
    </x:xf>
    <x:xf numFmtId="200" fontId="4" fillId="0" borderId="6" xfId="0" applyNumberFormat="1" applyFont="1" applyFill="1" applyBorder="1" applyAlignment="1">
      <x:alignment horizontal="right" vertical="top" wrapText="1"/>
    </x:xf>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1" xfId="0" applyNumberFormat="1" applyFont="1" applyFill="1" applyBorder="1" applyAlignment="1">
      <x:alignment wrapText="1"/>
    </x:xf>
    <x:xf numFmtId="0" fontId="3" fillId="5" borderId="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201" fontId="4" fillId="0" borderId="5" xfId="0" applyNumberFormat="1" applyFont="1" applyFill="1" applyBorder="1" applyAlignment="1">
      <x:alignment horizontal="right" vertical="top" wrapText="1"/>
    </x:xf>
    <x:xf numFmtId="0" fontId="0" fillId="6" borderId="0"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2" xfId="0" applyNumberFormat="1" applyFont="1" applyFill="1" applyBorder="1"/>
    <x:xf numFmtId="0" fontId="3" fillId="6" borderId="3" xfId="0" applyNumberFormat="1" applyFont="1" applyFill="1" applyBorder="1"/>
    <x:xf numFmtId="0" fontId="3" fillId="6" borderId="1" xfId="0" applyNumberFormat="1" applyFont="1" applyFill="1" applyBorder="1" applyAlignment="1">
      <x:alignment wrapText="1"/>
    </x:xf>
    <x:xf numFmtId="0" fontId="3" fillId="6" borderId="2" xfId="0" applyNumberFormat="1" applyFont="1" applyFill="1" applyBorder="1" applyAlignment="1">
      <x:alignment wrapText="1"/>
    </x:xf>
    <x:xf numFmtId="0" fontId="3" fillId="6" borderId="3" xfId="0" applyNumberFormat="1" applyFont="1" applyFill="1" applyBorder="1" applyAlignment="1">
      <x:alignment wrapText="1"/>
    </x:xf>
    <x:xf numFmtId="0" fontId="3" fillId="6" borderId="1" xfId="0" applyNumberFormat="1" applyFont="1" applyFill="1" applyBorder="1" applyAlignment="1">
      <x:alignment horizontal="center" wrapText="1"/>
    </x:xf>
    <x:xf numFmtId="0" fontId="3" fillId="6" borderId="2" xfId="0" applyNumberFormat="1" applyFont="1" applyFill="1" applyBorder="1" applyAlignment="1">
      <x:alignment horizontal="center" wrapText="1"/>
    </x:xf>
    <x:xf numFmtId="0" fontId="3" fillId="6" borderId="3" xfId="0" applyNumberFormat="1" applyFont="1" applyFill="1" applyBorder="1" applyAlignment="1">
      <x:alignment horizontal="center" wrapText="1"/>
    </x:xf>
    <x:xf numFmtId="0" fontId="3" fillId="6" borderId="1"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202" fontId="4" fillId="0" borderId="4" xfId="0" applyNumberFormat="1" applyFont="1" applyFill="1" applyBorder="1" applyAlignment="1">
      <x:alignment vertical="top" wrapText="1"/>
    </x:xf>
    <x:xf numFmtId="202" fontId="4" fillId="0" borderId="5" xfId="0" applyNumberFormat="1" applyFont="1" applyFill="1" applyBorder="1" applyAlignment="1">
      <x:alignment vertical="top" wrapText="1"/>
    </x:xf>
    <x:xf numFmtId="202" fontId="4" fillId="0" borderId="6" xfId="0" applyNumberFormat="1" applyFont="1" applyFill="1" applyBorder="1" applyAlignment="1">
      <x:alignment vertical="top" wrapText="1"/>
    </x:xf>
    <x:xf numFmtId="201" fontId="4" fillId="0" borderId="4" xfId="0" applyNumberFormat="1" applyFont="1" applyFill="1" applyBorder="1" applyAlignment="1">
      <x:alignment vertical="top" wrapText="1"/>
    </x:xf>
    <x:xf numFmtId="201" fontId="4" fillId="0" borderId="5" xfId="0" applyNumberFormat="1" applyFont="1" applyFill="1" applyBorder="1" applyAlignment="1">
      <x:alignment vertical="top" wrapText="1"/>
    </x:xf>
    <x:xf numFmtId="201" fontId="4" fillId="0" borderId="6"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1" xfId="0" applyNumberFormat="1" applyFont="1" applyFill="1" applyBorder="1"/>
    <x:xf numFmtId="0" fontId="3" fillId="7" borderId="2" xfId="0" applyNumberFormat="1" applyFont="1" applyFill="1" applyBorder="1"/>
    <x:xf numFmtId="0" fontId="3" fillId="7" borderId="3" xfId="0" applyNumberFormat="1" applyFont="1" applyFill="1" applyBorder="1"/>
    <x:xf numFmtId="0" fontId="3" fillId="7" borderId="1" xfId="0" applyNumberFormat="1" applyFont="1" applyFill="1" applyBorder="1" applyAlignment="1">
      <x:alignment wrapText="1"/>
    </x:xf>
    <x:xf numFmtId="0" fontId="3" fillId="7" borderId="2" xfId="0" applyNumberFormat="1" applyFont="1" applyFill="1" applyBorder="1" applyAlignment="1">
      <x:alignment wrapText="1"/>
    </x:xf>
    <x:xf numFmtId="0" fontId="3" fillId="7" borderId="3" xfId="0" applyNumberFormat="1" applyFont="1" applyFill="1" applyBorder="1" applyAlignment="1">
      <x:alignment wrapText="1"/>
    </x:xf>
    <x:xf numFmtId="0" fontId="3" fillId="7" borderId="1" xfId="0" applyNumberFormat="1" applyFont="1" applyFill="1" applyBorder="1" applyAlignment="1">
      <x:alignment horizontal="center" wrapText="1"/>
    </x:xf>
    <x:xf numFmtId="0" fontId="3" fillId="7" borderId="2" xfId="0" applyNumberFormat="1" applyFont="1" applyFill="1" applyBorder="1" applyAlignment="1">
      <x:alignment horizontal="center" wrapText="1"/>
    </x:xf>
    <x:xf numFmtId="0" fontId="3" fillId="7" borderId="3" xfId="0" applyNumberFormat="1" applyFont="1" applyFill="1" applyBorder="1" applyAlignment="1">
      <x:alignment horizontal="center" wrapText="1"/>
    </x:xf>
    <x:xf numFmtId="0" fontId="3" fillId="7" borderId="1"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1" xfId="0" applyNumberFormat="1" applyFont="1" applyFill="1" applyBorder="1"/>
    <x:xf numFmtId="0" fontId="3" fillId="8" borderId="2" xfId="0" applyNumberFormat="1" applyFont="1" applyFill="1" applyBorder="1"/>
    <x:xf numFmtId="0" fontId="3" fillId="8" borderId="3" xfId="0" applyNumberFormat="1" applyFont="1" applyFill="1" applyBorder="1"/>
    <x:xf numFmtId="0" fontId="3" fillId="8" borderId="1" xfId="0" applyNumberFormat="1" applyFont="1" applyFill="1" applyBorder="1" applyAlignment="1">
      <x:alignment wrapText="1"/>
    </x:xf>
    <x:xf numFmtId="0" fontId="3" fillId="8" borderId="2" xfId="0" applyNumberFormat="1" applyFont="1" applyFill="1" applyBorder="1" applyAlignment="1">
      <x:alignment wrapText="1"/>
    </x:xf>
    <x:xf numFmtId="0" fontId="3" fillId="8" borderId="3"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2" xfId="0" applyNumberFormat="1" applyFont="1" applyFill="1" applyBorder="1" applyAlignment="1">
      <x:alignment horizontal="center" wrapText="1"/>
    </x:xf>
    <x:xf numFmtId="0" fontId="3" fillId="8" borderId="3"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0" fillId="9" borderId="0" xfId="0" applyNumberFormat="1" applyFont="1" applyFill="1" applyBorder="1"/>
    <x:xf numFmtId="0" fontId="3" fillId="9" borderId="0" xfId="0" applyNumberFormat="1" applyFont="1" applyFill="1" applyBorder="1"/>
    <x:xf numFmtId="0" fontId="3" fillId="9" borderId="1" xfId="0" applyNumberFormat="1" applyFont="1" applyFill="1" applyBorder="1"/>
    <x:xf numFmtId="0" fontId="3" fillId="9" borderId="2" xfId="0" applyNumberFormat="1" applyFont="1" applyFill="1" applyBorder="1"/>
    <x:xf numFmtId="0" fontId="3" fillId="9" borderId="3" xfId="0" applyNumberFormat="1" applyFont="1" applyFill="1" applyBorder="1"/>
    <x:xf numFmtId="0" fontId="3" fillId="9" borderId="1" xfId="0" applyNumberFormat="1" applyFont="1" applyFill="1" applyBorder="1" applyAlignment="1">
      <x:alignment wrapText="1"/>
    </x:xf>
    <x:xf numFmtId="0" fontId="3" fillId="9" borderId="2" xfId="0" applyNumberFormat="1" applyFont="1" applyFill="1" applyBorder="1" applyAlignment="1">
      <x:alignment wrapText="1"/>
    </x:xf>
    <x:xf numFmtId="0" fontId="3" fillId="9" borderId="3" xfId="0" applyNumberFormat="1" applyFont="1" applyFill="1" applyBorder="1" applyAlignment="1">
      <x:alignment wrapText="1"/>
    </x:xf>
    <x:xf numFmtId="0" fontId="3" fillId="9" borderId="1" xfId="0" applyNumberFormat="1" applyFont="1" applyFill="1" applyBorder="1" applyAlignment="1">
      <x:alignment horizontal="center" wrapText="1"/>
    </x:xf>
    <x:xf numFmtId="0" fontId="3" fillId="9" borderId="2" xfId="0" applyNumberFormat="1" applyFont="1" applyFill="1" applyBorder="1" applyAlignment="1">
      <x:alignment horizontal="center" wrapText="1"/>
    </x:xf>
    <x:xf numFmtId="0" fontId="3" fillId="9" borderId="3" xfId="0" applyNumberFormat="1" applyFont="1" applyFill="1" applyBorder="1" applyAlignment="1">
      <x:alignment horizontal="center" wrapText="1"/>
    </x:xf>
    <x:xf numFmtId="0" fontId="3" fillId="9" borderId="1"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3" fillId="9" borderId="3" xfId="0" applyNumberFormat="1" applyFont="1" applyFill="1" applyBorder="1" applyAlignment="1">
      <x:alignment horizontal="center" vertical="center" wrapText="1"/>
    </x:xf>
    <x:xf numFmtId="0" fontId="4" fillId="0" borderId="7" xfId="0" applyNumberFormat="1" applyFont="1" applyFill="1" applyBorder="1"/>
    <x:xf numFmtId="0" fontId="4" fillId="0" borderId="7" xfId="0" applyNumberFormat="1" applyFont="1" applyFill="1" applyBorder="1" applyAlignment="1">
      <x:alignment wrapText="1"/>
    </x:xf>
    <x:xf numFmtId="0" fontId="4" fillId="0" borderId="7" xfId="0" applyNumberFormat="1" applyFont="1" applyFill="1" applyBorder="1" applyAlignment="1">
      <x:alignment vertical="top" wrapText="1"/>
    </x:xf>
    <x:xf numFmtId="202" fontId="4" fillId="0" borderId="7" xfId="0" applyNumberFormat="1" applyFont="1" applyFill="1" applyBorder="1" applyAlignment="1">
      <x:alignment vertical="top" wrapText="1"/>
    </x:xf>
    <x:xf numFmtId="200" fontId="4" fillId="0" borderId="7" xfId="0" applyNumberFormat="1" applyFont="1" applyFill="1" applyBorder="1" applyAlignment="1">
      <x:alignment vertical="top" wrapText="1"/>
    </x:xf>
    <x:xf numFmtId="200" fontId="4" fillId="0" borderId="7" xfId="0" applyNumberFormat="1" applyFont="1" applyFill="1" applyBorder="1" applyAlignment="1">
      <x:alignment horizontal="right" vertical="top" wrapText="1"/>
    </x:xf>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2" xfId="0" applyNumberFormat="1" applyFont="1" applyFill="1" applyBorder="1" applyAlignment="1">
      <x:alignment horizontal="center" wrapText="1"/>
    </x:xf>
    <x:xf numFmtId="0" fontId="3" fillId="2" borderId="3"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8" xfId="0" applyNumberFormat="1" applyFont="1" applyFill="1" applyBorder="1"/>
    <x:xf numFmtId="0" fontId="7" fillId="10" borderId="9" xfId="0" applyNumberFormat="1" applyFont="1" applyFill="1" applyBorder="1"/>
    <x:xf numFmtId="0" fontId="7" fillId="10" borderId="10" xfId="0" applyNumberFormat="1" applyFont="1" applyFill="1" applyBorder="1"/>
    <x:xf numFmtId="0" fontId="7" fillId="10" borderId="11" xfId="0" applyNumberFormat="1" applyFont="1" applyFill="1" applyBorder="1"/>
    <x:xf numFmtId="0" fontId="7" fillId="10" borderId="8" xfId="0" applyNumberFormat="1" applyFont="1" applyFill="1" applyBorder="1" applyAlignment="1">
      <x:alignment horizontal="center"/>
    </x:xf>
    <x:xf numFmtId="0" fontId="7" fillId="10" borderId="9" xfId="0" applyNumberFormat="1" applyFont="1" applyFill="1" applyBorder="1" applyAlignment="1">
      <x:alignment horizontal="center"/>
    </x:xf>
    <x:xf numFmtId="0" fontId="7" fillId="10" borderId="10" xfId="0" applyNumberFormat="1" applyFont="1" applyFill="1" applyBorder="1" applyAlignment="1">
      <x:alignment horizontal="center"/>
    </x:xf>
    <x:xf numFmtId="0" fontId="7" fillId="10" borderId="11" xfId="0" applyNumberFormat="1" applyFont="1" applyFill="1" applyBorder="1" applyAlignment="1">
      <x:alignment horizontal="center"/>
    </x:xf>
    <x:xf numFmtId="0" fontId="7" fillId="10" borderId="8" xfId="0" applyNumberFormat="1" applyFont="1" applyFill="1" applyBorder="1" applyAlignment="1">
      <x:alignment horizontal="center" vertical="center"/>
    </x:xf>
    <x:xf numFmtId="0" fontId="7" fillId="10" borderId="9" xfId="0" applyNumberFormat="1" applyFont="1" applyFill="1" applyBorder="1" applyAlignment="1">
      <x:alignment horizontal="center" vertical="center"/>
    </x:xf>
    <x:xf numFmtId="0" fontId="7" fillId="10" borderId="10" xfId="0" applyNumberFormat="1" applyFont="1" applyFill="1" applyBorder="1" applyAlignment="1">
      <x:alignment horizontal="center" vertical="center"/>
    </x:xf>
    <x:xf numFmtId="0" fontId="7" fillId="10" borderId="11" xfId="0" applyNumberFormat="1" applyFont="1" applyFill="1" applyBorder="1" applyAlignment="1">
      <x:alignment horizontal="center" vertical="center"/>
    </x:xf>
    <x:xf numFmtId="0" fontId="8" fillId="5" borderId="0" xfId="0" applyNumberFormat="1" applyFont="1" applyFill="1" applyBorder="1"/>
    <x:xf numFmtId="0" fontId="8" fillId="5" borderId="0" xfId="0" applyNumberFormat="1" applyFont="1" applyFill="1" applyBorder="1" applyAlignment="1">
      <x:alignment horizontal="center"/>
    </x:xf>
    <x:xf numFmtId="0" fontId="9" fillId="0" borderId="0" xfId="0" applyNumberFormat="1" applyFont="1" applyFill="1" applyBorder="1"/>
    <x:xf numFmtId="0" fontId="9" fillId="0" borderId="12" xfId="0" applyNumberFormat="1" applyFont="1" applyFill="1" applyBorder="1"/>
    <x:xf numFmtId="0" fontId="9" fillId="0" borderId="12" xfId="0" applyNumberFormat="1" applyFont="1" applyFill="1" applyBorder="1" applyAlignment="1">
      <x:alignment horizontal="center"/>
    </x:xf>
    <x:xf numFmtId="0" fontId="8" fillId="9" borderId="0" xfId="0" applyNumberFormat="1" applyFont="1" applyFill="1" applyBorder="1"/>
    <x:xf numFmtId="0" fontId="8" fillId="9" borderId="0" xfId="0" applyNumberFormat="1" applyFont="1" applyFill="1" applyBorder="1" applyAlignment="1">
      <x:alignment horizontal="center"/>
    </x:xf>
    <x:xf numFmtId="0" fontId="10" fillId="0" borderId="0" xfId="0" applyNumberFormat="1" applyFont="1" applyFill="1" applyBorder="1"/>
    <x:xf numFmtId="0" fontId="10" fillId="0" borderId="12" xfId="0" applyNumberFormat="1" applyFont="1" applyFill="1" applyBorder="1"/>
    <x:xf numFmtId="0" fontId="10" fillId="0" borderId="12" xfId="0" applyNumberFormat="1" applyFont="1" applyFill="1" applyBorder="1" applyAlignment="1">
      <x:alignment wrapText="1"/>
    </x:xf>
    <x:xf numFmtId="203" fontId="10" fillId="0" borderId="12" xfId="0" applyNumberFormat="1" applyFont="1" applyFill="1" applyBorder="1" applyAlignment="1">
      <x:alignment wrapText="1"/>
    </x:xf>
    <x:xf numFmtId="0" fontId="8" fillId="2" borderId="0" xfId="0" applyNumberFormat="1" applyFont="1" applyFill="1" applyBorder="1"/>
    <x:xf numFmtId="0" fontId="8" fillId="2" borderId="0" xfId="0" applyNumberFormat="1" applyFont="1" applyFill="1" applyBorder="1" applyAlignment="1">
      <x:alignment horizontal="center"/>
    </x:xf>
    <x:xf numFmtId="0" fontId="10" fillId="0" borderId="12" xfId="0" applyNumberFormat="1" applyFont="1" applyFill="1" applyBorder="1" applyAlignment="1">
      <x:alignment vertical="center" wrapText="1"/>
    </x:xf>
    <x:xf numFmtId="0" fontId="0" fillId="11" borderId="0" xfId="0" applyNumberFormat="1" applyFont="1" applyFill="1" applyBorder="1"/>
    <x:xf numFmtId="0" fontId="11" fillId="11" borderId="0" xfId="0" applyNumberFormat="1" applyFont="1" applyFill="1" applyBorder="1"/>
    <x:xf numFmtId="0" fontId="11" fillId="11" borderId="13" xfId="0" applyNumberFormat="1" applyFont="1" applyFill="1" applyBorder="1"/>
    <x:xf numFmtId="0" fontId="11" fillId="11" borderId="14" xfId="0" applyNumberFormat="1" applyFont="1" applyFill="1" applyBorder="1"/>
    <x:xf numFmtId="0" fontId="11" fillId="11" borderId="15" xfId="0" applyNumberFormat="1" applyFont="1" applyFill="1" applyBorder="1"/>
    <x:xf numFmtId="0" fontId="11" fillId="11" borderId="16" xfId="0" applyNumberFormat="1" applyFont="1" applyFill="1" applyBorder="1"/>
    <x:xf numFmtId="0" fontId="11" fillId="11" borderId="17" xfId="0" applyNumberFormat="1" applyFont="1" applyFill="1" applyBorder="1"/>
    <x:xf numFmtId="0" fontId="11" fillId="11" borderId="18" xfId="0" applyNumberFormat="1" applyFont="1" applyFill="1" applyBorder="1"/>
    <x:xf numFmtId="0" fontId="11" fillId="11" borderId="19" xfId="0" applyNumberFormat="1" applyFont="1" applyFill="1" applyBorder="1"/>
    <x:xf numFmtId="0" fontId="11" fillId="11" borderId="20" xfId="0" applyNumberFormat="1" applyFont="1" applyFill="1" applyBorder="1"/>
    <x:xf numFmtId="0" fontId="11" fillId="11" borderId="13" xfId="0" applyNumberFormat="1" applyFont="1" applyFill="1" applyBorder="1" applyAlignment="1">
      <x:alignment wrapText="1"/>
    </x:xf>
    <x:xf numFmtId="0" fontId="11" fillId="11" borderId="14" xfId="0" applyNumberFormat="1" applyFont="1" applyFill="1" applyBorder="1" applyAlignment="1">
      <x:alignment wrapText="1"/>
    </x:xf>
    <x:xf numFmtId="0" fontId="11" fillId="11" borderId="15" xfId="0" applyNumberFormat="1" applyFont="1" applyFill="1" applyBorder="1" applyAlignment="1">
      <x:alignment wrapText="1"/>
    </x:xf>
    <x:xf numFmtId="0" fontId="11" fillId="11" borderId="16" xfId="0" applyNumberFormat="1" applyFont="1" applyFill="1" applyBorder="1" applyAlignment="1">
      <x:alignment wrapText="1"/>
    </x:xf>
    <x:xf numFmtId="0" fontId="11" fillId="11" borderId="0" xfId="0" applyNumberFormat="1" applyFont="1" applyFill="1" applyBorder="1" applyAlignment="1">
      <x:alignment wrapText="1"/>
    </x:xf>
    <x:xf numFmtId="0" fontId="11" fillId="11" borderId="17" xfId="0" applyNumberFormat="1" applyFont="1" applyFill="1" applyBorder="1" applyAlignment="1">
      <x:alignment wrapText="1"/>
    </x:xf>
    <x:xf numFmtId="0" fontId="11" fillId="11" borderId="18" xfId="0" applyNumberFormat="1" applyFont="1" applyFill="1" applyBorder="1" applyAlignment="1">
      <x:alignment wrapText="1"/>
    </x:xf>
    <x:xf numFmtId="0" fontId="11" fillId="11" borderId="19" xfId="0" applyNumberFormat="1" applyFont="1" applyFill="1" applyBorder="1" applyAlignment="1">
      <x:alignment wrapText="1"/>
    </x:xf>
    <x:xf numFmtId="0" fontId="11" fillId="11" borderId="20" xfId="0" applyNumberFormat="1" applyFont="1" applyFill="1" applyBorder="1" applyAlignment="1">
      <x:alignment wrapText="1"/>
    </x:xf>
    <x:xf numFmtId="0" fontId="11" fillId="11" borderId="13" xfId="0" applyNumberFormat="1" applyFont="1" applyFill="1" applyBorder="1" applyAlignment="1">
      <x:alignment vertical="center" wrapText="1"/>
    </x:xf>
    <x:xf numFmtId="0" fontId="11" fillId="11" borderId="14" xfId="0" applyNumberFormat="1" applyFont="1" applyFill="1" applyBorder="1" applyAlignment="1">
      <x:alignment vertical="center" wrapText="1"/>
    </x:xf>
    <x:xf numFmtId="0" fontId="11" fillId="11" borderId="15" xfId="0" applyNumberFormat="1" applyFont="1" applyFill="1" applyBorder="1" applyAlignment="1">
      <x:alignment vertical="center" wrapText="1"/>
    </x:xf>
    <x:xf numFmtId="0" fontId="11" fillId="11" borderId="16"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11" borderId="17" xfId="0" applyNumberFormat="1" applyFont="1" applyFill="1" applyBorder="1" applyAlignment="1">
      <x:alignment vertical="center" wrapText="1"/>
    </x:xf>
    <x:xf numFmtId="0" fontId="11" fillId="11" borderId="18" xfId="0" applyNumberFormat="1" applyFont="1" applyFill="1" applyBorder="1" applyAlignment="1">
      <x:alignment vertical="center" wrapText="1"/>
    </x:xf>
    <x:xf numFmtId="0" fontId="11" fillId="11" borderId="19" xfId="0" applyNumberFormat="1" applyFont="1" applyFill="1" applyBorder="1" applyAlignment="1">
      <x:alignment vertical="center" wrapText="1"/>
    </x:xf>
    <x:xf numFmtId="0" fontId="11" fillId="11" borderId="20" xfId="0" applyNumberFormat="1" applyFont="1" applyFill="1" applyBorder="1" applyAlignment="1">
      <x:alignment vertical="center" wrapText="1"/>
    </x:xf>
    <x:xf numFmtId="0" fontId="1" fillId="2" borderId="0" xfId="0" applyNumberFormat="1" applyFont="1" applyFill="1" applyBorder="1" applyAlignment="1">
      <x:alignment horizontal="left" vertical="top"/>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3" fillId="8" borderId="1" xfId="0" applyNumberFormat="1" applyFont="1" applyFill="1" applyBorder="1" applyAlignment="1">
      <x:alignment horizontal="center" vertical="top" wrapText="1"/>
    </x:xf>
    <x:xf numFmtId="0" fontId="3" fillId="8" borderId="2" xfId="0" applyNumberFormat="1" applyFont="1" applyFill="1" applyBorder="1" applyAlignment="1">
      <x:alignment horizontal="center" vertical="top" wrapText="1"/>
    </x:xf>
    <x:xf numFmtId="0" fontId="3" fillId="8" borderId="3" xfId="0" applyNumberFormat="1" applyFont="1" applyFill="1" applyBorder="1" applyAlignment="1">
      <x:alignment horizontal="center" vertical="top" wrapText="1"/>
    </x:xf>
    <x:xf numFmtId="0" fontId="3" fillId="9" borderId="1" xfId="0" applyNumberFormat="1" applyFont="1" applyFill="1" applyBorder="1" applyAlignment="1">
      <x:alignment horizontal="center" vertical="top" wrapText="1"/>
    </x:xf>
    <x:xf numFmtId="0" fontId="3" fillId="9" borderId="2" xfId="0" applyNumberFormat="1" applyFont="1" applyFill="1" applyBorder="1" applyAlignment="1">
      <x:alignment horizontal="center" vertical="top" wrapText="1"/>
    </x:xf>
    <x:xf numFmtId="0" fontId="3" fillId="9" borderId="3" xfId="0" applyNumberFormat="1" applyFont="1" applyFill="1" applyBorder="1" applyAlignment="1">
      <x:alignment horizontal="center"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vertical="center"/>
    </x:xf>
    <x:xf numFmtId="0" fontId="0" fillId="13" borderId="0" xfId="0" applyNumberFormat="1" applyFont="1" applyFill="1" applyBorder="1"/>
    <x:xf numFmtId="0" fontId="2" fillId="13" borderId="0" xfId="0" applyNumberFormat="1" applyFont="1" applyFill="1" applyBorder="1"/>
    <x:xf numFmtId="0" fontId="2" fillId="13" borderId="0" xfId="0" applyNumberFormat="1" applyFont="1" applyFill="1" applyBorder="1" applyAlignment="1">
      <x:alignment wrapText="1"/>
    </x:xf>
    <x:xf numFmtId="0" fontId="2" fillId="13" borderId="0" xfId="0" applyNumberFormat="1" applyFont="1" applyFill="1" applyBorder="1" applyAlignment="1">
      <x:alignment vertical="center" wrapText="1"/>
    </x:xf>
    <x:xf numFmtId="0" fontId="0" fillId="14" borderId="0" xfId="0" applyNumberFormat="1" applyFont="1" applyFill="1" applyBorder="1"/>
    <x:xf numFmtId="0" fontId="3" fillId="14" borderId="0" xfId="0" applyNumberFormat="1" applyFont="1" applyFill="1" applyBorder="1"/>
    <x:xf numFmtId="0" fontId="3" fillId="14" borderId="1" xfId="0" applyNumberFormat="1" applyFont="1" applyFill="1" applyBorder="1"/>
    <x:xf numFmtId="0" fontId="3" fillId="14" borderId="2" xfId="0" applyNumberFormat="1" applyFont="1" applyFill="1" applyBorder="1"/>
    <x:xf numFmtId="0" fontId="3" fillId="14" borderId="3" xfId="0" applyNumberFormat="1" applyFont="1" applyFill="1" applyBorder="1"/>
    <x:xf numFmtId="0" fontId="3" fillId="14" borderId="1" xfId="0" applyNumberFormat="1" applyFont="1" applyFill="1" applyBorder="1" applyAlignment="1">
      <x:alignment wrapText="1"/>
    </x:xf>
    <x:xf numFmtId="0" fontId="3" fillId="14" borderId="2" xfId="0" applyNumberFormat="1" applyFont="1" applyFill="1" applyBorder="1" applyAlignment="1">
      <x:alignment wrapText="1"/>
    </x:xf>
    <x:xf numFmtId="0" fontId="3" fillId="14" borderId="3" xfId="0" applyNumberFormat="1" applyFont="1" applyFill="1" applyBorder="1" applyAlignment="1">
      <x:alignment wrapText="1"/>
    </x:xf>
    <x:xf numFmtId="0" fontId="3" fillId="14" borderId="1" xfId="0" applyNumberFormat="1" applyFont="1" applyFill="1" applyBorder="1" applyAlignment="1">
      <x:alignment horizontal="center" wrapText="1"/>
    </x:xf>
    <x:xf numFmtId="0" fontId="3" fillId="14" borderId="2" xfId="0" applyNumberFormat="1" applyFont="1" applyFill="1" applyBorder="1" applyAlignment="1">
      <x:alignment horizontal="center" wrapText="1"/>
    </x:xf>
    <x:xf numFmtId="0" fontId="3" fillId="14" borderId="3" xfId="0" applyNumberFormat="1" applyFont="1" applyFill="1" applyBorder="1" applyAlignment="1">
      <x:alignment horizontal="center" wrapText="1"/>
    </x:xf>
    <x:xf numFmtId="0" fontId="3" fillId="14" borderId="1" xfId="0" applyNumberFormat="1" applyFont="1" applyFill="1" applyBorder="1" applyAlignment="1">
      <x:alignment horizontal="center" vertical="center" wrapText="1"/>
    </x:xf>
    <x:xf numFmtId="0" fontId="3" fillId="14" borderId="2" xfId="0" applyNumberFormat="1" applyFont="1" applyFill="1" applyBorder="1" applyAlignment="1">
      <x:alignment horizontal="center" vertical="center" wrapText="1"/>
    </x:xf>
    <x:xf numFmtId="0" fontId="3" fillId="14" borderId="3" xfId="0" applyNumberFormat="1" applyFont="1" applyFill="1" applyBorder="1" applyAlignment="1">
      <x:alignment horizontal="center" vertical="center" wrapText="1"/>
    </x:xf>
    <x:xf numFmtId="203" fontId="4" fillId="0" borderId="4" xfId="0" applyNumberFormat="1" applyFont="1" applyFill="1" applyBorder="1" applyAlignment="1">
      <x:alignment vertical="top" wrapText="1"/>
    </x:xf>
    <x:xf numFmtId="203" fontId="4" fillId="0" borderId="5" xfId="0" applyNumberFormat="1" applyFont="1" applyFill="1" applyBorder="1" applyAlignment="1">
      <x:alignment vertical="top" wrapText="1"/>
    </x:xf>
    <x:xf numFmtId="203" fontId="4" fillId="0" borderId="6" xfId="0" applyNumberFormat="1" applyFont="1" applyFill="1" applyBorder="1" applyAlignment="1">
      <x:alignment vertical="top" wrapText="1"/>
    </x:xf>
    <x:xf numFmtId="204" fontId="0" fillId="0" borderId="0" xfId="0" applyNumberFormat="1" applyFont="1" applyFill="1" applyBorder="1"/>
    <x:xf numFmtId="204" fontId="4" fillId="0" borderId="0" xfId="0" applyNumberFormat="1" applyFont="1" applyFill="1" applyBorder="1"/>
    <x:xf numFmtId="0" fontId="4" fillId="0" borderId="0" xfId="0" applyNumberFormat="1" applyFont="1" applyFill="1" applyBorder="1" applyAlignment="1">
      <x:alignment wrapText="1"/>
    </x:xf>
    <x:xf numFmtId="204"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204" fontId="4" fillId="0" borderId="0" xfId="0" applyNumberFormat="1" applyFont="1" applyFill="1" applyBorder="1" applyAlignment="1">
      <x:alignment vertical="top" wrapText="1"/>
    </x:xf>
    <x:xf numFmtId="200" fontId="0" fillId="0" borderId="0" xfId="0" applyNumberFormat="1" applyFont="1" applyFill="1" applyBorder="1"/>
    <x:xf numFmtId="200" fontId="4" fillId="0" borderId="0" xfId="0" applyNumberFormat="1" applyFont="1" applyFill="1" applyBorder="1"/>
    <x:xf numFmtId="200" fontId="4" fillId="0" borderId="0" xfId="0" applyNumberFormat="1" applyFont="1" applyFill="1" applyBorder="1" applyAlignment="1">
      <x:alignment wrapText="1"/>
    </x:xf>
    <x:xf numFmtId="200" fontId="4" fillId="0" borderId="0" xfId="0" applyNumberFormat="1" applyFont="1" applyFill="1" applyBorder="1" applyAlignment="1">
      <x:alignment vertical="top" wrapText="1"/>
    </x:xf>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vertical="center"/>
    </x:xf>
    <x:xf numFmtId="0" fontId="0" fillId="15" borderId="0" xfId="0" applyNumberFormat="1" applyFont="1" applyFill="1" applyBorder="1"/>
    <x:xf numFmtId="0" fontId="12" fillId="15" borderId="0" xfId="0" applyNumberFormat="1" applyFont="1" applyFill="1" applyBorder="1"/>
    <x:xf numFmtId="0" fontId="12" fillId="15" borderId="8" xfId="0" applyNumberFormat="1" applyFont="1" applyFill="1" applyBorder="1"/>
    <x:xf numFmtId="0" fontId="12" fillId="15" borderId="9" xfId="0" applyNumberFormat="1" applyFont="1" applyFill="1" applyBorder="1"/>
    <x:xf numFmtId="0" fontId="12" fillId="15" borderId="10" xfId="0" applyNumberFormat="1" applyFont="1" applyFill="1" applyBorder="1"/>
    <x:xf numFmtId="0" fontId="12" fillId="15" borderId="11" xfId="0" applyNumberFormat="1" applyFont="1" applyFill="1" applyBorder="1"/>
    <x:xf numFmtId="0" fontId="12" fillId="15" borderId="8" xfId="0" applyNumberFormat="1" applyFont="1" applyFill="1" applyBorder="1" applyAlignment="1">
      <x:alignment horizontal="center"/>
    </x:xf>
    <x:xf numFmtId="0" fontId="12" fillId="15" borderId="9" xfId="0" applyNumberFormat="1" applyFont="1" applyFill="1" applyBorder="1" applyAlignment="1">
      <x:alignment horizontal="center"/>
    </x:xf>
    <x:xf numFmtId="0" fontId="12" fillId="15" borderId="10" xfId="0" applyNumberFormat="1" applyFont="1" applyFill="1" applyBorder="1" applyAlignment="1">
      <x:alignment horizontal="center"/>
    </x:xf>
    <x:xf numFmtId="0" fontId="12" fillId="15" borderId="11" xfId="0" applyNumberFormat="1" applyFont="1" applyFill="1" applyBorder="1" applyAlignment="1">
      <x:alignment horizontal="center"/>
    </x:xf>
    <x:xf numFmtId="0" fontId="12" fillId="15" borderId="8" xfId="0" applyNumberFormat="1" applyFont="1" applyFill="1" applyBorder="1" applyAlignment="1">
      <x:alignment horizontal="center" vertical="center"/>
    </x:xf>
    <x:xf numFmtId="0" fontId="12" fillId="15" borderId="9" xfId="0" applyNumberFormat="1" applyFont="1" applyFill="1" applyBorder="1" applyAlignment="1">
      <x:alignment horizontal="center" vertical="center"/>
    </x:xf>
    <x:xf numFmtId="0" fontId="12" fillId="15" borderId="10" xfId="0" applyNumberFormat="1" applyFont="1" applyFill="1" applyBorder="1" applyAlignment="1">
      <x:alignment horizontal="center" vertical="center"/>
    </x:xf>
    <x:xf numFmtId="0" fontId="12" fillId="15" borderId="11" xfId="0" applyNumberFormat="1" applyFont="1" applyFill="1" applyBorder="1" applyAlignment="1">
      <x:alignment horizontal="center" vertical="center"/>
    </x:xf>
    <x:xf numFmtId="0" fontId="8" fillId="14" borderId="0" xfId="0" applyNumberFormat="1" applyFont="1" applyFill="1" applyBorder="1"/>
    <x:xf numFmtId="0" fontId="8" fillId="14" borderId="0" xfId="0" applyNumberFormat="1" applyFont="1" applyFill="1" applyBorder="1" applyAlignment="1">
      <x:alignment horizontal="center"/>
    </x:xf>
    <x:xf numFmtId="203" fontId="9" fillId="0" borderId="12" xfId="0" applyNumberFormat="1" applyFont="1" applyFill="1" applyBorder="1" applyAlignment="1">
      <x:alignment horizontal="center"/>
    </x:xf>
    <x:xf numFmtId="0" fontId="0" fillId="16" borderId="0" xfId="0" applyNumberFormat="1" applyFont="1" applyFill="1" applyBorder="1"/>
    <x:xf numFmtId="0" fontId="13" fillId="16" borderId="0" xfId="0" applyNumberFormat="1" applyFont="1" applyFill="1" applyBorder="1"/>
    <x:xf numFmtId="0" fontId="13" fillId="16" borderId="21" xfId="0" applyNumberFormat="1" applyFont="1" applyFill="1" applyBorder="1"/>
    <x:xf numFmtId="0" fontId="13" fillId="16" borderId="22" xfId="0" applyNumberFormat="1" applyFont="1" applyFill="1" applyBorder="1"/>
    <x:xf numFmtId="0" fontId="13" fillId="16" borderId="23" xfId="0" applyNumberFormat="1" applyFont="1" applyFill="1" applyBorder="1"/>
    <x:xf numFmtId="0" fontId="13" fillId="16" borderId="24" xfId="0" applyNumberFormat="1" applyFont="1" applyFill="1" applyBorder="1"/>
    <x:xf numFmtId="0" fontId="13" fillId="16" xfId="0" applyNumberFormat="1" applyFont="1" applyFill="1" applyBorder="0"/>
    <x:xf numFmtId="0" fontId="13" fillId="16" borderId="25" xfId="0" applyNumberFormat="1" applyFont="1" applyFill="1" applyBorder="1"/>
    <x:xf numFmtId="0" fontId="13" fillId="16" borderId="26" xfId="0" applyNumberFormat="1" applyFont="1" applyFill="1" applyBorder="1"/>
    <x:xf numFmtId="0" fontId="13" fillId="16" borderId="27" xfId="0" applyNumberFormat="1" applyFont="1" applyFill="1" applyBorder="1"/>
    <x:xf numFmtId="0" fontId="13" fillId="16" borderId="28" xfId="0" applyNumberFormat="1" applyFont="1" applyFill="1" applyBorder="1"/>
    <x:xf numFmtId="0" fontId="13" fillId="16" borderId="21" xfId="0" applyNumberFormat="1" applyFont="1" applyFill="1" applyBorder="1" applyAlignment="1">
      <x:alignment wrapText="1"/>
    </x:xf>
    <x:xf numFmtId="0" fontId="13" fillId="16" borderId="22" xfId="0" applyNumberFormat="1" applyFont="1" applyFill="1" applyBorder="1" applyAlignment="1">
      <x:alignment wrapText="1"/>
    </x:xf>
    <x:xf numFmtId="0" fontId="13" fillId="16" borderId="23" xfId="0" applyNumberFormat="1" applyFont="1" applyFill="1" applyBorder="1" applyAlignment="1">
      <x:alignment wrapText="1"/>
    </x:xf>
    <x:xf numFmtId="0" fontId="13" fillId="16" borderId="24" xfId="0" applyNumberFormat="1" applyFont="1" applyFill="1" applyBorder="1" applyAlignment="1">
      <x:alignment wrapText="1"/>
    </x:xf>
    <x:xf numFmtId="0" fontId="13" fillId="16" xfId="0" applyNumberFormat="1" applyFont="1" applyFill="1" applyBorder="0" applyAlignment="1">
      <x:alignment wrapText="1"/>
    </x:xf>
    <x:xf numFmtId="0" fontId="13" fillId="16" borderId="25" xfId="0" applyNumberFormat="1" applyFont="1" applyFill="1" applyBorder="1" applyAlignment="1">
      <x:alignment wrapText="1"/>
    </x:xf>
    <x:xf numFmtId="0" fontId="13" fillId="16" borderId="26" xfId="0" applyNumberFormat="1" applyFont="1" applyFill="1" applyBorder="1" applyAlignment="1">
      <x:alignment wrapText="1"/>
    </x:xf>
    <x:xf numFmtId="0" fontId="13" fillId="16" borderId="27" xfId="0" applyNumberFormat="1" applyFont="1" applyFill="1" applyBorder="1" applyAlignment="1">
      <x:alignment wrapText="1"/>
    </x:xf>
    <x:xf numFmtId="0" fontId="13" fillId="16" borderId="28" xfId="0" applyNumberFormat="1" applyFont="1" applyFill="1" applyBorder="1" applyAlignment="1">
      <x:alignment wrapText="1"/>
    </x:xf>
    <x:xf numFmtId="0" fontId="13" fillId="16" borderId="21" xfId="0" applyNumberFormat="1" applyFont="1" applyFill="1" applyBorder="1" applyAlignment="1">
      <x:alignment vertical="center" wrapText="1"/>
    </x:xf>
    <x:xf numFmtId="0" fontId="13" fillId="16" borderId="22" xfId="0" applyNumberFormat="1" applyFont="1" applyFill="1" applyBorder="1" applyAlignment="1">
      <x:alignment vertical="center" wrapText="1"/>
    </x:xf>
    <x:xf numFmtId="0" fontId="13" fillId="16" borderId="23" xfId="0" applyNumberFormat="1" applyFont="1" applyFill="1" applyBorder="1" applyAlignment="1">
      <x:alignment vertical="center" wrapText="1"/>
    </x:xf>
    <x:xf numFmtId="0" fontId="13" fillId="16" borderId="24" xfId="0" applyNumberFormat="1" applyFont="1" applyFill="1" applyBorder="1" applyAlignment="1">
      <x:alignment vertical="center" wrapText="1"/>
    </x:xf>
    <x:xf numFmtId="0" fontId="13" fillId="16" xfId="0" applyNumberFormat="1" applyFont="1" applyFill="1" applyBorder="0" applyAlignment="1">
      <x:alignment vertical="center" wrapText="1"/>
    </x:xf>
    <x:xf numFmtId="0" fontId="13" fillId="16" borderId="25" xfId="0" applyNumberFormat="1" applyFont="1" applyFill="1" applyBorder="1" applyAlignment="1">
      <x:alignment vertical="center" wrapText="1"/>
    </x:xf>
    <x:xf numFmtId="0" fontId="13" fillId="16" borderId="26" xfId="0" applyNumberFormat="1" applyFont="1" applyFill="1" applyBorder="1" applyAlignment="1">
      <x:alignment vertical="center" wrapText="1"/>
    </x:xf>
    <x:xf numFmtId="0" fontId="13" fillId="16" borderId="27" xfId="0" applyNumberFormat="1" applyFont="1" applyFill="1" applyBorder="1" applyAlignment="1">
      <x:alignment vertical="center" wrapText="1"/>
    </x:xf>
    <x:xf numFmtId="0" fontId="13" fillId="16" borderId="28"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vertical="center"/>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2" fillId="18" borderId="0" xfId="0" applyNumberFormat="1" applyFont="1" applyFill="1" applyBorder="1" applyAlignment="1">
      <x:alignment vertical="center" wrapText="1"/>
    </x:xf>
    <x:xf numFmtId="0" fontId="0" fillId="19" borderId="0" xfId="0" applyNumberFormat="1" applyFont="1" applyFill="1" applyBorder="1"/>
    <x:xf numFmtId="0" fontId="3" fillId="19" borderId="0" xfId="0" applyNumberFormat="1" applyFont="1" applyFill="1" applyBorder="1"/>
    <x:xf numFmtId="0" fontId="3" fillId="19" borderId="1" xfId="0" applyNumberFormat="1" applyFont="1" applyFill="1" applyBorder="1"/>
    <x:xf numFmtId="0" fontId="3" fillId="19" borderId="2" xfId="0" applyNumberFormat="1" applyFont="1" applyFill="1" applyBorder="1"/>
    <x:xf numFmtId="0" fontId="3" fillId="19" borderId="3" xfId="0" applyNumberFormat="1" applyFont="1" applyFill="1" applyBorder="1"/>
    <x:xf numFmtId="0" fontId="3" fillId="19" borderId="1" xfId="0" applyNumberFormat="1" applyFont="1" applyFill="1" applyBorder="1" applyAlignment="1">
      <x:alignment wrapText="1"/>
    </x:xf>
    <x:xf numFmtId="0" fontId="3" fillId="19" borderId="2" xfId="0" applyNumberFormat="1" applyFont="1" applyFill="1" applyBorder="1" applyAlignment="1">
      <x:alignment wrapText="1"/>
    </x:xf>
    <x:xf numFmtId="0" fontId="3" fillId="19" borderId="3" xfId="0" applyNumberFormat="1" applyFont="1" applyFill="1" applyBorder="1" applyAlignment="1">
      <x:alignment wrapText="1"/>
    </x:xf>
    <x:xf numFmtId="0" fontId="3" fillId="19" borderId="1" xfId="0" applyNumberFormat="1" applyFont="1" applyFill="1" applyBorder="1" applyAlignment="1">
      <x:alignment horizontal="center" wrapText="1"/>
    </x:xf>
    <x:xf numFmtId="0" fontId="3" fillId="19" borderId="2" xfId="0" applyNumberFormat="1" applyFont="1" applyFill="1" applyBorder="1" applyAlignment="1">
      <x:alignment horizontal="center" wrapText="1"/>
    </x:xf>
    <x:xf numFmtId="0" fontId="3" fillId="19" borderId="3" xfId="0" applyNumberFormat="1" applyFont="1" applyFill="1" applyBorder="1" applyAlignment="1">
      <x:alignment horizontal="center" wrapText="1"/>
    </x:xf>
    <x:xf numFmtId="0" fontId="3" fillId="19" borderId="1" xfId="0" applyNumberFormat="1" applyFont="1" applyFill="1" applyBorder="1" applyAlignment="1">
      <x:alignment horizontal="center" vertical="center" wrapText="1"/>
    </x:xf>
    <x:xf numFmtId="0" fontId="3" fillId="19" borderId="2" xfId="0" applyNumberFormat="1" applyFont="1" applyFill="1" applyBorder="1" applyAlignment="1">
      <x:alignment horizontal="center" vertical="center" wrapText="1"/>
    </x:xf>
    <x:xf numFmtId="0" fontId="3" fillId="19" borderId="3" xfId="0" applyNumberFormat="1" applyFont="1" applyFill="1" applyBorder="1" applyAlignment="1">
      <x:alignment horizontal="center" vertical="center" wrapText="1"/>
    </x:xf>
    <x:xf numFmtId="0" fontId="0" fillId="20" borderId="0" xfId="0" applyNumberFormat="1" applyFont="1" applyFill="1" applyBorder="1"/>
    <x:xf numFmtId="0" fontId="3" fillId="20" borderId="0" xfId="0" applyNumberFormat="1" applyFont="1" applyFill="1" applyBorder="1"/>
    <x:xf numFmtId="0" fontId="3" fillId="20" borderId="1" xfId="0" applyNumberFormat="1" applyFont="1" applyFill="1" applyBorder="1"/>
    <x:xf numFmtId="0" fontId="3" fillId="20" borderId="2" xfId="0" applyNumberFormat="1" applyFont="1" applyFill="1" applyBorder="1"/>
    <x:xf numFmtId="0" fontId="3" fillId="20" borderId="3" xfId="0" applyNumberFormat="1" applyFont="1" applyFill="1" applyBorder="1"/>
    <x:xf numFmtId="0" fontId="3" fillId="20" borderId="1" xfId="0" applyNumberFormat="1" applyFont="1" applyFill="1" applyBorder="1" applyAlignment="1">
      <x:alignment wrapText="1"/>
    </x:xf>
    <x:xf numFmtId="0" fontId="3" fillId="20" borderId="2" xfId="0" applyNumberFormat="1" applyFont="1" applyFill="1" applyBorder="1" applyAlignment="1">
      <x:alignment wrapText="1"/>
    </x:xf>
    <x:xf numFmtId="0" fontId="3" fillId="20" borderId="3" xfId="0" applyNumberFormat="1" applyFont="1" applyFill="1" applyBorder="1" applyAlignment="1">
      <x:alignment wrapText="1"/>
    </x:xf>
    <x:xf numFmtId="0" fontId="3" fillId="20" borderId="1" xfId="0" applyNumberFormat="1" applyFont="1" applyFill="1" applyBorder="1" applyAlignment="1">
      <x:alignment horizontal="center" wrapText="1"/>
    </x:xf>
    <x:xf numFmtId="0" fontId="3" fillId="20" borderId="2" xfId="0" applyNumberFormat="1" applyFont="1" applyFill="1" applyBorder="1" applyAlignment="1">
      <x:alignment horizontal="center" wrapText="1"/>
    </x:xf>
    <x:xf numFmtId="0" fontId="3" fillId="20" borderId="3" xfId="0" applyNumberFormat="1" applyFont="1" applyFill="1" applyBorder="1" applyAlignment="1">
      <x:alignment horizontal="center" wrapText="1"/>
    </x:xf>
    <x:xf numFmtId="0" fontId="3" fillId="20" borderId="1" xfId="0" applyNumberFormat="1" applyFont="1" applyFill="1" applyBorder="1" applyAlignment="1">
      <x:alignment horizontal="center" vertical="center" wrapText="1"/>
    </x:xf>
    <x:xf numFmtId="0" fontId="3" fillId="20" borderId="2" xfId="0" applyNumberFormat="1" applyFont="1" applyFill="1" applyBorder="1" applyAlignment="1">
      <x:alignment horizontal="center" vertical="center" wrapText="1"/>
    </x:xf>
    <x:xf numFmtId="0" fontId="3" fillId="20" borderId="3" xfId="0" applyNumberFormat="1" applyFont="1" applyFill="1" applyBorder="1" applyAlignment="1">
      <x:alignment horizontal="center" vertical="center" wrapText="1"/>
    </x:xf>
    <x:xf numFmtId="205" fontId="4" fillId="0" borderId="4" xfId="0" applyNumberFormat="1" applyFont="1" applyFill="1" applyBorder="1" applyAlignment="1">
      <x:alignment vertical="top" wrapText="1"/>
    </x:xf>
    <x:xf numFmtId="205" fontId="4" fillId="0" borderId="5" xfId="0" applyNumberFormat="1" applyFont="1" applyFill="1" applyBorder="1" applyAlignment="1">
      <x:alignment vertical="top" wrapText="1"/>
    </x:xf>
    <x:xf numFmtId="205" fontId="4" fillId="0" borderId="6" xfId="0" applyNumberFormat="1" applyFont="1" applyFill="1" applyBorder="1" applyAlignment="1">
      <x:alignment vertical="top" wrapText="1"/>
    </x:xf>
  </x:cellXfs>
  <x:cellStyles count="1">
    <x:cellStyle name="Normal" xfId="0"/>
  </x:cellStyles>
  <x:dxfs count="22">
    <x:dxf>
      <x:font>
        <x:b/>
        <x:color rgb="FF1F4E78"/>
      </x:font>
      <x:fill>
        <x:patternFill>
          <x:bgColor rgb="FFDDEBF7"/>
        </x:patternFill>
      </x:fill>
    </x:dxf>
    <x:dxf>
      <x:font>
        <x:b/>
        <x:color rgb="FF375623"/>
      </x:font>
      <x:fill>
        <x:patternFill>
          <x:bgColor rgb="FFE2F0D9"/>
        </x:patternFill>
      </x:fill>
    </x:dxf>
    <x:dxf>
      <x:font>
        <x:b/>
        <x:color rgb="FF7F6000"/>
      </x:font>
      <x:fill>
        <x:patternFill>
          <x:bgColor rgb="FFFFF2CC"/>
        </x:patternFill>
      </x:fill>
    </x:dxf>
    <x:dxf>
      <x:font>
        <x:b/>
        <x:color rgb="FFC00000"/>
      </x:font>
      <x:fill>
        <x:patternFill>
          <x:bgColor rgb="FFFCE4D6"/>
        </x:patternFill>
      </x:fill>
    </x:dxf>
    <x:dxf>
      <x:font>
        <x:b/>
        <x:color rgb="FF1F4E78"/>
      </x:font>
      <x:fill>
        <x:patternFill>
          <x:bgColor rgb="FFDDEBF7"/>
        </x:patternFill>
      </x:fill>
    </x:dxf>
    <x:dxf>
      <x:font>
        <x:b/>
        <x:color rgb="FF7F6000"/>
      </x:font>
      <x:fill>
        <x:patternFill>
          <x:bgColor rgb="FFFFF2CC"/>
        </x:patternFill>
      </x:fill>
    </x:dxf>
    <x:dxf>
      <x:font>
        <x:b/>
        <x:color rgb="FF9C0006"/>
      </x:font>
      <x:fill>
        <x:patternFill>
          <x:bgColor rgb="FFFCE4D6"/>
        </x:patternFill>
      </x:fill>
    </x:dxf>
    <x:dxf>
      <x:font>
        <x:b/>
        <x:color rgb="FFC00000"/>
      </x:font>
      <x:fill>
        <x:patternFill>
          <x:bgColor rgb="FFFCE4D6"/>
        </x:patternFill>
      </x:fill>
    </x:dxf>
    <x:dxf>
      <x:font>
        <x:b/>
        <x:color rgb="FF548235"/>
      </x:font>
      <x:fill>
        <x:patternFill>
          <x:bgColor rgb="FFE2F0D9"/>
        </x:patternFill>
      </x:fill>
    </x:dxf>
    <x:dxf>
      <x:font>
        <x:b/>
        <x:color rgb="FF548235"/>
      </x:font>
      <x:fill>
        <x:patternFill>
          <x:bgColor rgb="FFE2F0D9"/>
        </x:patternFill>
      </x:fill>
    </x:dxf>
    <x:dxf>
      <x:font>
        <x:b/>
        <x:color rgb="FF1F4E78"/>
      </x:font>
      <x:fill>
        <x:patternFill>
          <x:bgColor rgb="FFD9EAF7"/>
        </x:patternFill>
      </x:fill>
    </x:dxf>
    <x:dxf>
      <x:font>
        <x:b/>
        <x:color rgb="FF7F6000"/>
      </x:font>
      <x:fill>
        <x:patternFill>
          <x:bgColor rgb="FFFFF2CC"/>
        </x:patternFill>
      </x:fill>
    </x:dxf>
    <x:dxf>
      <x:font>
        <x:b/>
        <x:color rgb="FF9C0006"/>
      </x:font>
      <x:fill>
        <x:patternFill>
          <x:bgColor rgb="FFFCE4D6"/>
        </x:patternFill>
      </x:fill>
    </x:dxf>
    <x:dxf>
      <x:font>
        <x:b/>
        <x:color rgb="FF375623"/>
      </x:font>
      <x:fill>
        <x:patternFill>
          <x:bgColor rgb="FFE2F0D9"/>
        </x:patternFill>
      </x:fill>
    </x:dxf>
    <x:dxf>
      <x:font>
        <x:b/>
        <x:color rgb="FF7F6000"/>
      </x:font>
      <x:fill>
        <x:patternFill>
          <x:bgColor rgb="FFFFF2CC"/>
        </x:patternFill>
      </x:fill>
    </x:dxf>
    <x:dxf>
      <x:font>
        <x:b/>
        <x:color rgb="FF7030A0"/>
      </x:font>
      <x:fill>
        <x:patternFill>
          <x:bgColor rgb="FFE4DFEC"/>
        </x:patternFill>
      </x:fill>
    </x:dxf>
    <x:dxf>
      <x:font>
        <x:b/>
        <x:color rgb="FF0F6B78"/>
      </x:font>
      <x:fill>
        <x:patternFill>
          <x:bgColor rgb="FFDDEBF7"/>
        </x:patternFill>
      </x:fill>
    </x:dxf>
    <x:dxf>
      <x:font>
        <x:b/>
        <x:color rgb="FF375623"/>
      </x:font>
      <x:fill>
        <x:patternFill>
          <x:bgColor rgb="FFE2F0D9"/>
        </x:patternFill>
      </x:fill>
    </x:dxf>
    <x:dxf>
      <x:font>
        <x:b/>
        <x:color rgb="FF7030A0"/>
      </x:font>
      <x:fill>
        <x:patternFill>
          <x:bgColor rgb="FFE4DFEC"/>
        </x:patternFill>
      </x:fill>
    </x:dxf>
    <x:dxf>
      <x:font>
        <x:b/>
        <x:color rgb="FF0F6B78"/>
      </x:font>
      <x:fill>
        <x:patternFill>
          <x:bgColor rgb="FFD9EAF7"/>
        </x:patternFill>
      </x:fill>
    </x:dxf>
    <x:dxf>
      <x:font>
        <x:b/>
        <x:color rgb="FF375623"/>
      </x:font>
      <x:fill>
        <x:patternFill patternType="solid">
          <x:bgColor rgb="FFE2F0D9"/>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5af10831c44adf" /><Relationship Type="http://schemas.openxmlformats.org/officeDocument/2006/relationships/theme" Target="/xl/theme/theme1.xml" Id="Ra4cad2e99eda475c" /><Relationship Type="http://schemas.openxmlformats.org/officeDocument/2006/relationships/sharedStrings" Target="/xl/sharedStrings.xml" Id="Rf0d5e4d7808a4da8" /><Relationship Type="http://schemas.openxmlformats.org/officeDocument/2006/relationships/worksheet" Target="/xl/worksheets/sheet1.xml" Id="Rc7016d9805a94b96" /><Relationship Type="http://schemas.openxmlformats.org/officeDocument/2006/relationships/worksheet" Target="/xl/worksheets/sheet2.xml" Id="R3ae78bdf68ec4371" /><Relationship Type="http://schemas.openxmlformats.org/officeDocument/2006/relationships/worksheet" Target="/xl/worksheets/sheet3.xml" Id="R4378e1b1e6844122" /><Relationship Type="http://schemas.openxmlformats.org/officeDocument/2006/relationships/worksheet" Target="/xl/worksheets/sheet4.xml" Id="R6e6e7743e1f24946" /><Relationship Type="http://schemas.openxmlformats.org/officeDocument/2006/relationships/worksheet" Target="/xl/worksheets/sheet5.xml" Id="Raddae3f5fa5a4859" /><Relationship Type="http://schemas.openxmlformats.org/officeDocument/2006/relationships/worksheet" Target="/xl/worksheets/sheet6.xml" Id="Rc0b19f12e00d4979" /><Relationship Type="http://schemas.openxmlformats.org/officeDocument/2006/relationships/worksheet" Target="/xl/worksheets/sheet7.xml" Id="Rc32be9f9018b40d0" /><Relationship Type="http://schemas.openxmlformats.org/officeDocument/2006/relationships/worksheet" Target="/xl/worksheets/sheet8.xml" Id="R153ce52380564d52" /><Relationship Type="http://schemas.openxmlformats.org/officeDocument/2006/relationships/worksheet" Target="/xl/worksheets/sheet9.xml" Id="R3383a6ae9b2643b2" /><Relationship Type="http://schemas.openxmlformats.org/officeDocument/2006/relationships/worksheet" Target="/xl/worksheets/sheet10.xml" Id="Rd03f12ed9f4747d2" /><Relationship Type="http://schemas.openxmlformats.org/officeDocument/2006/relationships/worksheet" Target="/xl/worksheets/sheet11.xml" Id="Rf8656d8a9c7a4165" /><Relationship Type="http://schemas.openxmlformats.org/officeDocument/2006/relationships/worksheet" Target="/xl/worksheets/sheet12.xml" Id="R160c35ece9c6463f" /><Relationship Type="http://schemas.openxmlformats.org/officeDocument/2006/relationships/worksheet" Target="/xl/worksheets/sheet13.xml" Id="R02e4da1127914e6c" /><Relationship Type="http://schemas.openxmlformats.org/officeDocument/2006/relationships/worksheet" Target="/xl/worksheets/sheet14.xml" Id="R4a46a5fd8e844e6e" /><Relationship Type="http://schemas.openxmlformats.org/officeDocument/2006/relationships/worksheet" Target="/xl/worksheets/sheet15.xml" Id="R012360a984354e63" /><Relationship Type="http://schemas.openxmlformats.org/officeDocument/2006/relationships/worksheet" Target="/xl/worksheets/sheet16.xml" Id="Re8d78d3fcade4167" /><Relationship Type="http://schemas.openxmlformats.org/officeDocument/2006/relationships/worksheet" Target="/xl/worksheets/sheet17.xml" Id="Ra39c03ca98ac4254" /><Relationship Type="http://schemas.openxmlformats.org/officeDocument/2006/relationships/worksheet" Target="/xl/worksheets/sheet18.xml" Id="R10ce3ed2ce024896" /><Relationship Type="http://schemas.openxmlformats.org/officeDocument/2006/relationships/worksheet" Target="/xl/worksheets/sheet19.xml" Id="Re87ed7ed5e494dd8" /><Relationship Type="http://schemas.openxmlformats.org/officeDocument/2006/relationships/worksheet" Target="/xl/worksheets/sheet20.xml" Id="Rd8423ddf8db94ab7" /><Relationship Type="http://schemas.openxmlformats.org/officeDocument/2006/relationships/worksheet" Target="/xl/worksheets/sheet21.xml" Id="Rf350041c77c64ca0" /><Relationship Type="http://schemas.openxmlformats.org/officeDocument/2006/relationships/worksheet" Target="/xl/worksheets/sheet22.xml" Id="R41c98e90a2bd466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b4abfa126f743f9" /><Relationship Type="http://schemas.openxmlformats.org/officeDocument/2006/relationships/chart" Target="/xl/drawings/charts/chart2.xml" Id="Rd71ec7bf77b84983" /><Relationship Type="http://schemas.openxmlformats.org/officeDocument/2006/relationships/chart" Target="/xl/drawings/charts/chart3.xml" Id="Re787319b115e41e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事前、事中、事后覆盖均衡</a:t>
            </a:r>
          </a:p>
        </c:rich>
      </c:tx>
    </c:title>
    <c:plotArea>
      <c:barChart>
        <c:barDir val="col"/>
        <c:varyColors val="0"/>
        <c:ser>
          <c:idx val="0"/>
          <c:order val="0"/>
          <c:tx>
            <c:v>场景数</c:v>
          </c:tx>
          <c:cat>
            <c:strRef>
              <c:f>'演示看板'!$A$9:$A$11</c:f>
              <c:strCache>
                <c:ptCount val="0"/>
              </c:strCache>
            </c:strRef>
          </c:cat>
          <c:val>
            <c:numRef>
              <c:f>'演示看板'!$B$9:$B$11</c:f>
              <c:numCache>
                <c:formatCode>0</c:formatCode>
                <c:ptCount val="0"/>
              </c:numCache>
            </c:numRef>
          </c:val>
        </c:ser>
        <c:ser>
          <c:idx val="1"/>
          <c:order val="1"/>
          <c:tx>
            <c:v>风险案例数</c:v>
          </c:tx>
          <c:cat>
            <c:strRef>
              <c:f>'演示看板'!$A$9:$A$11</c:f>
              <c:strCache>
                <c:ptCount val="0"/>
              </c:strCache>
            </c:strRef>
          </c:cat>
          <c:val>
            <c:numRef>
              <c:f>'演示看板'!$C$9:$C$11</c:f>
              <c:numCache>
                <c:formatCode>0</c:formatCode>
                <c:ptCount val="0"/>
              </c:numCache>
            </c:numRef>
          </c:val>
        </c:ser>
        <c:ser>
          <c:idx val="2"/>
          <c:order val="2"/>
          <c:tx>
            <c:v>预警数</c:v>
          </c:tx>
          <c:cat>
            <c:strRef>
              <c:f>'演示看板'!$A$9:$A$11</c:f>
              <c:strCache>
                <c:ptCount val="0"/>
              </c:strCache>
            </c:strRef>
          </c:cat>
          <c:val>
            <c:numRef>
              <c:f>'演示看板'!$D$9:$D$11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7个风险案例综合分值</a:t>
            </a:r>
          </a:p>
        </c:rich>
      </c:tx>
    </c:title>
    <c:plotArea>
      <c:barChart>
        <c:barDir val="col"/>
        <c:varyColors val="0"/>
        <c:ser>
          <c:idx val="0"/>
          <c:order val="0"/>
          <c:tx>
            <c:v>风险分值</c:v>
          </c:tx>
          <c:cat>
            <c:strRef>
              <c:f>'演示看板'!$A$15:$A$21</c:f>
              <c:strCache>
                <c:ptCount val="0"/>
              </c:strCache>
            </c:strRef>
          </c:cat>
          <c:val>
            <c:numRef>
              <c:f>'演示看板'!$B$15:$B$21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0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53项风险模式当前准备度</a:t>
            </a:r>
          </a:p>
        </c:rich>
      </c:tx>
    </c:title>
    <c:plotArea>
      <c:barChart>
        <c:barDir val="col"/>
        <c:varyColors val="0"/>
        <c:ser>
          <c:idx val="0"/>
          <c:order val="0"/>
          <c:tx>
            <c:v>模式数</c:v>
          </c:tx>
          <c:cat>
            <c:strRef>
              <c:f>'演示看板'!$A$40:$A$44</c:f>
              <c:strCache>
                <c:ptCount val="0"/>
              </c:strCache>
            </c:strRef>
          </c:cat>
          <c:val>
            <c:numRef>
              <c:f>'演示看板'!$B$40:$B$44</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30"/>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7</xdr:row>
      <xdr:rowOff>0</xdr:rowOff>
    </xdr:from>
    <xdr:to>
      <xdr:col>12</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b4abfa126f743f9"/>
        </a:graphicData>
      </a:graphic>
    </xdr:graphicFrame>
    <xdr:clientData/>
  </xdr:twoCellAnchor>
  <xdr:twoCellAnchor>
    <xdr:from>
      <xdr:col>6</xdr:col>
      <xdr:colOff>0</xdr:colOff>
      <xdr:row>21</xdr:row>
      <xdr:rowOff>0</xdr:rowOff>
    </xdr:from>
    <xdr:to>
      <xdr:col>12</xdr:col>
      <xdr:colOff>0</xdr:colOff>
      <xdr:row>33</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71ec7bf77b84983"/>
        </a:graphicData>
      </a:graphic>
    </xdr:graphicFrame>
    <xdr:clientData/>
  </xdr:twoCellAnchor>
  <xdr:twoCellAnchor>
    <xdr:from>
      <xdr:col>4</xdr:col>
      <xdr:colOff>0</xdr:colOff>
      <xdr:row>38</xdr:row>
      <xdr:rowOff>0</xdr:rowOff>
    </xdr:from>
    <xdr:to>
      <xdr:col>14</xdr:col>
      <xdr:colOff>0</xdr:colOff>
      <xdr:row>54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87319b115e41e6"/>
        </a:graphicData>
      </a:graphic>
    </xdr:graphicFrame>
    <xdr:clientData/>
  </xdr:twoCellAnchor>
</xdr:wsDr>
</file>

<file path=xl/tables/table1.xml><?xml version="1.0" encoding="utf-8"?>
<x:table xmlns:x="http://schemas.openxmlformats.org/spreadsheetml/2006/main" id="1" name="CasesTable" displayName="CasesTable" ref="A4:L12" headerRowCount="1" totalsRowCount="0" totalsRowShown="0">
  <x:tableColumns count="12">
    <x:tableColumn id="1" name="案例ID"/>
    <x:tableColumn id="2" name="案例名称"/>
    <x:tableColumn id="3" name="阶段"/>
    <x:tableColumn id="4" name="主风险场景"/>
    <x:tableColumn id="5" name="组织"/>
    <x:tableColumn id="6" name="主对象ID"/>
    <x:tableColumn id="7" name="金额（元）"/>
    <x:tableColumn id="8" name="采购方式"/>
    <x:tableColumn id="9" name="案例时间范围"/>
    <x:tableColumn id="10" name="预期结果"/>
    <x:tableColumn id="11" name="风险摘要"/>
    <x:tableColumn id="12" name="样本类型"/>
  </x:tableColumns>
  <x:tableStyleInfo name="TableStyleMedium2" showFirstColumn="0" showLastColumn="0" showRowStripes="1" showColumnStripes="0"/>
</x:table>
</file>

<file path=xl/tables/table2.xml><?xml version="1.0" encoding="utf-8"?>
<x:table xmlns:x="http://schemas.openxmlformats.org/spreadsheetml/2006/main" id="2" name="ParametersTable" displayName="ParametersTable" ref="A4:E40" headerRowCount="1" totalsRowCount="0" totalsRowShown="0">
  <x:tableColumns count="5">
    <x:tableColumn id="1" name="参数编码"/>
    <x:tableColumn id="2" name="参数值"/>
    <x:tableColumn id="3" name="单位"/>
    <x:tableColumn id="4" name="适用场景"/>
    <x:tableColumn id="5" name="说明"/>
  </x:tableColumns>
  <x:tableStyleInfo name="TableStyleMedium2" showFirstColumn="0" showLastColumn="0" showRowStripes="1" showColumnStripes="0"/>
</x:table>
</file>

<file path=xl/tables/table3.xml><?xml version="1.0" encoding="utf-8"?>
<x:table xmlns:x="http://schemas.openxmlformats.org/spreadsheetml/2006/main" id="3" name="OntologyElementsTable" displayName="OntologyElementsTable" ref="A4:J186" headerRowCount="1" totalsRowCount="0" totalsRowShown="0">
  <x:tableColumns count="10">
    <x:tableColumn id="1" name="元素ID"/>
    <x:tableColumn id="2" name="本体ID"/>
    <x:tableColumn id="3" name="元素类型"/>
    <x:tableColumn id="4" name="元素编码"/>
    <x:tableColumn id="5" name="元素名称"/>
    <x:tableColumn id="6" name="起点/归属类"/>
    <x:tableColumn id="7" name="终点类"/>
    <x:tableColumn id="8" name="数据类型"/>
    <x:tableColumn id="9" name="约束"/>
    <x:tableColumn id="10" name="说明"/>
  </x:tableColumns>
  <x:tableStyleInfo name="TableStyleMedium2" showFirstColumn="0" showLastColumn="0" showRowStripes="1" showColumnStripes="0"/>
</x:table>
</file>

<file path=xl/tables/table4.xml><?xml version="1.0" encoding="utf-8"?>
<x:table xmlns:x="http://schemas.openxmlformats.org/spreadsheetml/2006/main" id="13" name="GraphVersionTable" displayName="GraphVersionTable" ref="A4:N5" headerRowCount="1" totalsRowCount="0" totalsRowShown="0">
  <x:tableColumns count="14">
    <x:tableColumn id="1" name="图谱版本ID"/>
    <x:tableColumn id="2" name="图谱编码"/>
    <x:tableColumn id="3" name="图谱名称"/>
    <x:tableColumn id="4" name="本体ID"/>
    <x:tableColumn id="5" name="本体版本"/>
    <x:tableColumn id="6" name="映射版本"/>
    <x:tableColumn id="7" name="数据范围"/>
    <x:tableColumn id="8" name="实体数"/>
    <x:tableColumn id="9" name="关系数"/>
    <x:tableColumn id="10" name="事件数"/>
    <x:tableColumn id="11" name="阻断项"/>
    <x:tableColumn id="12" name="警告项"/>
    <x:tableColumn id="13" name="状态"/>
    <x:tableColumn id="14" name="发布时间"/>
  </x:tableColumns>
  <x:tableStyleInfo name="TableStyleMedium2" showFirstColumn="0" showLastColumn="0" showRowStripes="1" showColumnStripes="0"/>
</x:table>
</file>

<file path=xl/tables/table5.xml><?xml version="1.0" encoding="utf-8"?>
<x:table xmlns:x="http://schemas.openxmlformats.org/spreadsheetml/2006/main" id="4" name="GraphNodesTable" displayName="GraphNodesTable" ref="A4:K175" headerRowCount="1" totalsRowCount="0" totalsRowShown="0">
  <x:tableColumns count="11">
    <x:tableColumn id="1" name="节点ID"/>
    <x:tableColumn id="2" name="本体类编码"/>
    <x:tableColumn id="3" name="节点名称"/>
    <x:tableColumn id="4" name="案例ID"/>
    <x:tableColumn id="5" name="所属组织"/>
    <x:tableColumn id="6" name="来源系统"/>
    <x:tableColumn id="7" name="来源记录"/>
    <x:tableColumn id="8" name="有效起始"/>
    <x:tableColumn id="9" name="有效结束"/>
    <x:tableColumn id="10" name="状态"/>
    <x:tableColumn id="11" name="属性JSON"/>
  </x:tableColumns>
  <x:tableStyleInfo name="TableStyleMedium2" showFirstColumn="0" showLastColumn="0" showRowStripes="1" showColumnStripes="0"/>
</x:table>
</file>

<file path=xl/tables/table6.xml><?xml version="1.0" encoding="utf-8"?>
<x:table xmlns:x="http://schemas.openxmlformats.org/spreadsheetml/2006/main" id="5" name="GraphRelationsTable" displayName="GraphRelationsTable" ref="A4:L253" headerRowCount="1" totalsRowCount="0" totalsRowShown="0">
  <x:tableColumns count="12">
    <x:tableColumn id="1" name="关系ID"/>
    <x:tableColumn id="2" name="关系编码"/>
    <x:tableColumn id="3" name="起点节点ID"/>
    <x:tableColumn id="4" name="终点节点ID"/>
    <x:tableColumn id="5" name="案例ID"/>
    <x:tableColumn id="6" name="来源系统"/>
    <x:tableColumn id="7" name="来源记录"/>
    <x:tableColumn id="8" name="证据ID"/>
    <x:tableColumn id="9" name="置信度"/>
    <x:tableColumn id="10" name="有效起始"/>
    <x:tableColumn id="11" name="有效结束"/>
    <x:tableColumn id="12" name="关系属性JSON"/>
  </x:tableColumns>
  <x:tableStyleInfo name="TableStyleMedium2" showFirstColumn="0" showLastColumn="0" showRowStripes="1" showColumnStripes="0"/>
</x:table>
</file>

<file path=xl/tables/table7.xml><?xml version="1.0" encoding="utf-8"?>
<x:table xmlns:x="http://schemas.openxmlformats.org/spreadsheetml/2006/main" id="6" name="BusinessEventsTable" displayName="BusinessEventsTable" ref="A4:M73" headerRowCount="1" totalsRowCount="0" totalsRowShown="0">
  <x:tableColumns count="13">
    <x:tableColumn id="1" name="事件ID"/>
    <x:tableColumn id="2" name="事件编码"/>
    <x:tableColumn id="3" name="事件名称"/>
    <x:tableColumn id="4" name="案例ID"/>
    <x:tableColumn id="5" name="对象ID"/>
    <x:tableColumn id="6" name="操作人ID"/>
    <x:tableColumn id="7" name="组织ID"/>
    <x:tableColumn id="8" name="事件时间"/>
    <x:tableColumn id="9" name="金额（元）"/>
    <x:tableColumn id="10" name="状态"/>
    <x:tableColumn id="11" name="来源系统"/>
    <x:tableColumn id="12" name="来源记录"/>
    <x:tableColumn id="13" name="事件属性JSON"/>
  </x:tableColumns>
  <x:tableStyleInfo name="TableStyleMedium2" showFirstColumn="0" showLastColumn="0" showRowStripes="1" showColumnStripes="0"/>
</x:table>
</file>

<file path=xl/tables/table8.xml><?xml version="1.0" encoding="utf-8"?>
<x:table xmlns:x="http://schemas.openxmlformats.org/spreadsheetml/2006/main" id="7" name="RiskScenesTable" displayName="RiskScenesTable" ref="A4:Y11" headerRowCount="1" totalsRowCount="0" totalsRowShown="0">
  <x:tableColumns count="25">
    <x:tableColumn id="1" name="场景ID"/>
    <x:tableColumn id="2" name="场景版本ID"/>
    <x:tableColumn id="3" name="场景编码"/>
    <x:tableColumn id="4" name="场景名称"/>
    <x:tableColumn id="5" name="版本"/>
    <x:tableColumn id="6" name="状态"/>
    <x:tableColumn id="7" name="阶段"/>
    <x:tableColumn id="8" name="领域"/>
    <x:tableColumn id="9" name="场景说明"/>
    <x:tableColumn id="10" name="对象编码"/>
    <x:tableColumn id="11" name="对象名称"/>
    <x:tableColumn id="12" name="目标事件编码"/>
    <x:tableColumn id="13" name="目标事件名称"/>
    <x:tableColumn id="14" name="风险等级"/>
    <x:tableColumn id="15" name="观察值"/>
    <x:tableColumn id="16" name="单位"/>
    <x:tableColumn id="17" name="本体ID"/>
    <x:tableColumn id="18" name="图谱版本"/>
    <x:tableColumn id="19" name="适用组织JSON"/>
    <x:tableColumn id="20" name="对象范围JSON"/>
    <x:tableColumn id="21" name="例外JSON"/>
    <x:tableColumn id="22" name="证据JSON"/>
    <x:tableColumn id="23" name="制度依据JSON"/>
    <x:tableColumn id="24" name="核查模板JSON"/>
    <x:tableColumn id="25" name="发布时间"/>
  </x:tableColumns>
  <x:tableStyleInfo name="TableStyleMedium2" showFirstColumn="0" showLastColumn="0" showRowStripes="1" showColumnStripes="0"/>
</x:table>
</file>

<file path=xl/tables/table9.xml><?xml version="1.0" encoding="utf-8"?>
<x:table xmlns:x="http://schemas.openxmlformats.org/spreadsheetml/2006/main" id="8" name="RiskRulesTable" displayName="RiskRulesTable" ref="A4:Y18" headerRowCount="1" totalsRowCount="0" totalsRowShown="0">
  <x:tableColumns count="25">
    <x:tableColumn id="1" name="规则资产ID"/>
    <x:tableColumn id="2" name="规则版本ID"/>
    <x:tableColumn id="3" name="规则编码"/>
    <x:tableColumn id="4" name="规则名称"/>
    <x:tableColumn id="5" name="版本"/>
    <x:tableColumn id="6" name="场景编码"/>
    <x:tableColumn id="7" name="阶段"/>
    <x:tableColumn id="8" name="规则类型"/>
    <x:tableColumn id="9" name="风险等级"/>
    <x:tableColumn id="10" name="对象编码"/>
    <x:tableColumn id="11" name="事件编码"/>
    <x:tableColumn id="12" name="本体ID"/>
    <x:tableColumn id="13" name="图谱版本"/>
    <x:tableColumn id="14" name="条件JSON"/>
    <x:tableColumn id="15" name="路径JSON"/>
    <x:tableColumn id="16" name="时序JSON"/>
    <x:tableColumn id="17" name="聚合JSON"/>
    <x:tableColumn id="18" name="例外JSON"/>
    <x:tableColumn id="19" name="输出JSON"/>
    <x:tableColumn id="20" name="证据要求JSON"/>
    <x:tableColumn id="21" name="制度依据JSON"/>
    <x:tableColumn id="22" name="失败策略"/>
    <x:tableColumn id="23" name="规则摘要"/>
    <x:tableColumn id="24" name="状态"/>
    <x:tableColumn id="25" name="优先级"/>
  </x:tableColumns>
  <x:tableStyleInfo name="TableStyleMedium2" showFirstColumn="0" showLastColumn="0" showRowStripes="1" showColumnStripes="0"/>
</x:table>
</file>

<file path=xl/tables/table10.xml><?xml version="1.0" encoding="utf-8"?>
<x:table xmlns:x="http://schemas.openxmlformats.org/spreadsheetml/2006/main" id="9" name="SceneRuleBindingsTable" displayName="SceneRuleBindingsTable" ref="A4:G18" headerRowCount="1" totalsRowCount="0" totalsRowShown="0">
  <x:tableColumns count="7">
    <x:tableColumn id="1" name="场景版本ID"/>
    <x:tableColumn id="2" name="规则版本ID"/>
    <x:tableColumn id="3" name="启用"/>
    <x:tableColumn id="4" name="风险等级覆盖"/>
    <x:tableColumn id="5" name="参数JSON"/>
    <x:tableColumn id="6" name="优先级"/>
    <x:tableColumn id="7" name="绑定时间"/>
  </x:tableColumns>
  <x:tableStyleInfo name="TableStyleMedium2" showFirstColumn="0" showLastColumn="0" showRowStripes="1" showColumnStripes="0"/>
</x:table>
</file>

<file path=xl/tables/table11.xml><?xml version="1.0" encoding="utf-8"?>
<x:table xmlns:x="http://schemas.openxmlformats.org/spreadsheetml/2006/main" id="10" name="RuleRunsTable" displayName="RuleRunsTable" ref="A4:M22" headerRowCount="1" totalsRowCount="0" totalsRowShown="0">
  <x:tableColumns count="13">
    <x:tableColumn id="1" name="运行记录ID"/>
    <x:tableColumn id="2" name="案例ID"/>
    <x:tableColumn id="3" name="场景编码"/>
    <x:tableColumn id="4" name="规则编码"/>
    <x:tableColumn id="5" name="对象ID"/>
    <x:tableColumn id="6" name="对象名称"/>
    <x:tableColumn id="7" name="执行时间"/>
    <x:tableColumn id="8" name="结果"/>
    <x:tableColumn id="9" name="风险等级"/>
    <x:tableColumn id="10" name="实际值摘要"/>
    <x:tableColumn id="11" name="证据状态"/>
    <x:tableColumn id="12" name="预警编码"/>
    <x:tableColumn id="13" name="取数批次"/>
  </x:tableColumns>
  <x:tableStyleInfo name="TableStyleMedium2" showFirstColumn="0" showLastColumn="0" showRowStripes="1" showColumnStripes="0"/>
</x:table>
</file>

<file path=xl/tables/table12.xml><?xml version="1.0" encoding="utf-8"?>
<x:table xmlns:x="http://schemas.openxmlformats.org/spreadsheetml/2006/main" id="12" name="RiskWarningsTable" displayName="RiskWarningsTable" ref="A4:T11" headerRowCount="1" totalsRowCount="0" totalsRowShown="0">
  <x:tableColumns count="20">
    <x:tableColumn id="1" name="预警编码"/>
    <x:tableColumn id="2" name="案例ID"/>
    <x:tableColumn id="3" name="场景编码"/>
    <x:tableColumn id="4" name="预警标题"/>
    <x:tableColumn id="5" name="对象ID"/>
    <x:tableColumn id="6" name="对象名称"/>
    <x:tableColumn id="7" name="阶段"/>
    <x:tableColumn id="8" name="风险等级"/>
    <x:tableColumn id="9" name="状态"/>
    <x:tableColumn id="10" name="命中规则数"/>
    <x:tableColumn id="11" name="有效证据数"/>
    <x:tableColumn id="12" name="风险分值"/>
    <x:tableColumn id="13" name="证据状态"/>
    <x:tableColumn id="14" name="负责人"/>
    <x:tableColumn id="15" name="组织"/>
    <x:tableColumn id="16" name="生成时间"/>
    <x:tableColumn id="17" name="处置时限"/>
    <x:tableColumn id="18" name="图谱版本"/>
    <x:tableColumn id="19" name="场景版本ID"/>
    <x:tableColumn id="20" name="追踪ID"/>
  </x:tableColumns>
  <x:tableStyleInfo name="TableStyleMedium2" showFirstColumn="0" showLastColumn="0" showRowStripes="1" showColumnStripes="0"/>
</x:table>
</file>

<file path=xl/tables/table13.xml><?xml version="1.0" encoding="utf-8"?>
<x:table xmlns:x="http://schemas.openxmlformats.org/spreadsheetml/2006/main" id="11" name="RiskEvidenceTable" displayName="RiskEvidenceTable" ref="A4:L37" headerRowCount="1" totalsRowCount="0" totalsRowShown="0">
  <x:tableColumns count="12">
    <x:tableColumn id="1" name="预警编码"/>
    <x:tableColumn id="2" name="案例ID"/>
    <x:tableColumn id="3" name="证据ID"/>
    <x:tableColumn id="4" name="证据类型"/>
    <x:tableColumn id="5" name="来源系统"/>
    <x:tableColumn id="6" name="来源记录"/>
    <x:tableColumn id="7" name="字段/关系"/>
    <x:tableColumn id="8" name="证据值"/>
    <x:tableColumn id="9" name="采集时间"/>
    <x:tableColumn id="10" name="有效性"/>
    <x:tableColumn id="11" name="证据哈希（脱敏）"/>
    <x:tableColumn id="12" name="说明"/>
  </x:tableColumns>
  <x:tableStyleInfo name="TableStyleMedium2" showFirstColumn="0" showLastColumn="0" showRowStripes="1" showColumnStripes="0"/>
</x:table>
</file>

<file path=xl/tables/table14.xml><?xml version="1.0" encoding="utf-8"?>
<x:table xmlns:x="http://schemas.openxmlformats.org/spreadsheetml/2006/main" id="14" name="SourceMappingsTable" displayName="SourceMappingsTable" ref="A4:K29" headerRowCount="1" totalsRowCount="0" totalsRowShown="0">
  <x:tableColumns count="11">
    <x:tableColumn id="1" name="数据源ID"/>
    <x:tableColumn id="2" name="数据源名称"/>
    <x:tableColumn id="3" name="源表/接口"/>
    <x:tableColumn id="4" name="源字段"/>
    <x:tableColumn id="5" name="映射类型"/>
    <x:tableColumn id="6" name="目标本体编码"/>
    <x:tableColumn id="7" name="转换规则"/>
    <x:tableColumn id="8" name="目标层"/>
    <x:tableColumn id="9" name="建议目标表"/>
    <x:tableColumn id="10" name="置信度"/>
    <x:tableColumn id="11" name="映射状态"/>
  </x:tableColumns>
  <x:tableStyleInfo name="TableStyleMedium2" showFirstColumn="0" showLastColumn="0" showRowStripes="1" showColumnStripes="0"/>
</x:table>
</file>

<file path=xl/tables/table15.xml><?xml version="1.0" encoding="utf-8"?>
<x:table xmlns:x="http://schemas.openxmlformats.org/spreadsheetml/2006/main" id="15" name="ImportAdviceTable" displayName="ImportAdviceTable" ref="A4:H28" headerRowCount="1" totalsRowCount="0" totalsRowShown="0">
  <x:tableColumns count="8">
    <x:tableColumn id="1" name="顺序"/>
    <x:tableColumn id="2" name="数据包"/>
    <x:tableColumn id="3" name="来源工作表"/>
    <x:tableColumn id="4" name="目标表"/>
    <x:tableColumn id="5" name="当前状态"/>
    <x:tableColumn id="6" name="批准后动作"/>
    <x:tableColumn id="7" name="主键/唯一键"/>
    <x:tableColumn id="8" name="注意事项"/>
  </x:tableColumns>
  <x:tableStyleInfo name="TableStyleMedium2" showFirstColumn="0" showLastColumn="0" showRowStripes="1" showColumnStripes="0"/>
</x:table>
</file>

<file path=xl/tables/table16.xml><?xml version="1.0" encoding="utf-8"?>
<x:table xmlns:x="http://schemas.openxmlformats.org/spreadsheetml/2006/main" id="16" name="RiskPatternCatalogTable" displayName="RiskPatternCatalogTable" ref="A4:O57" headerRowCount="1" totalsRowCount="0" totalsRowShown="0">
  <x:tableColumns count="15">
    <x:tableColumn id="1" name="模式类目"/>
    <x:tableColumn id="2" name="编号"/>
    <x:tableColumn id="3" name="模式名称"/>
    <x:tableColumn id="4" name="模式说明"/>
    <x:tableColumn id="5" name="阶段"/>
    <x:tableColumn id="6" name="规则类型"/>
    <x:tableColumn id="7" name="核心对象"/>
    <x:tableColumn id="8" name="关键阈值/判断"/>
    <x:tableColumn id="9" name="主要数据源"/>
    <x:tableColumn id="10" name="准备度"/>
    <x:tableColumn id="11" name="当前案例映射"/>
    <x:tableColumn id="12" name="推荐案例包"/>
    <x:tableColumn id="13" name="建议场景编码"/>
    <x:tableColumn id="14" name="优先级"/>
    <x:tableColumn id="15" name="后续入库方式"/>
  </x:tableColumns>
  <x:tableStyleInfo name="TableStyleMedium2" showFirstColumn="0" showLastColumn="0" showRowStripes="1" showColumnStripes="0"/>
</x:table>
</file>

<file path=xl/tables/table17.xml><?xml version="1.0" encoding="utf-8"?>
<x:table xmlns:x="http://schemas.openxmlformats.org/spreadsheetml/2006/main" id="17" name="PatternDemoPackagesTable" displayName="PatternDemoPackagesTable" ref="A4:L10" headerRowCount="1" totalsRowCount="0" totalsRowShown="0">
  <x:tableColumns count="12">
    <x:tableColumn id="1" name="案例包ID"/>
    <x:tableColumn id="2" name="案例包名称"/>
    <x:tableColumn id="3" name="复用现有案例"/>
    <x:tableColumn id="4" name="演示目标"/>
    <x:tableColumn id="5" name="模式数"/>
    <x:tableColumn id="6" name="已覆盖数"/>
    <x:tableColumn id="7" name="部分覆盖数"/>
    <x:tableColumn id="8" name="需新增数据"/>
    <x:tableColumn id="9" name="外部/能力依赖"/>
    <x:tableColumn id="10" name="建议演示故事线"/>
    <x:tableColumn id="11" name="建设顺序"/>
    <x:tableColumn id="12" name="当前状态"/>
  </x:tableColumns>
  <x:tableStyleInfo name="TableStyleMedium2" showFirstColumn="0" showLastColumn="0" showRowStripes="1" showColumnStripes="0"/>
</x:table>
</file>

<file path=xl/tables/table18.xml><?xml version="1.0" encoding="utf-8"?>
<x:table xmlns:x="http://schemas.openxmlformats.org/spreadsheetml/2006/main" id="18" name="CasePackageDetailTable" displayName="CasePackageDetailTable" ref="A4:L6" headerRowCount="1" totalsRowCount="0" totalsRowShown="0">
  <x:tableColumns count="12">
    <x:tableColumn id="1" name="案例包ID"/>
    <x:tableColumn id="2" name="案例包名称"/>
    <x:tableColumn id="3" name="基础案例"/>
    <x:tableColumn id="4" name="覆盖模式"/>
    <x:tableColumn id="5" name="演示目标"/>
    <x:tableColumn id="6" name="本轮补充数据"/>
    <x:tableColumn id="7" name="核心图谱路径"/>
    <x:tableColumn id="8" name="关键命中值"/>
    <x:tableColumn id="9" name="预期结论"/>
    <x:tableColumn id="10" name="页面演示步骤"/>
    <x:tableColumn id="11" name="验收标准"/>
    <x:tableColumn id="12" name="状态"/>
  </x:tableColumns>
  <x:tableStyleInfo name="TableStyleMedium2" showFirstColumn="0" showLastColumn="0" showRowStripes="1" showColumnStripes="0"/>
</x:table>
</file>

<file path=xl/tables/table19.xml><?xml version="1.0" encoding="utf-8"?>
<x:table xmlns:x="http://schemas.openxmlformats.org/spreadsheetml/2006/main" id="19" name="CasePackageRuleMapTable" displayName="CasePackageRuleMapTable" ref="A4:K18" headerRowCount="1" totalsRowCount="0" totalsRowShown="0">
  <x:tableColumns count="11">
    <x:tableColumn id="1" name="案例包ID"/>
    <x:tableColumn id="2" name="模式编号"/>
    <x:tableColumn id="3" name="模式名称"/>
    <x:tableColumn id="4" name="规则类型"/>
    <x:tableColumn id="5" name="目标对象"/>
    <x:tableColumn id="6" name="规则条件"/>
    <x:tableColumn id="7" name="演示实际值"/>
    <x:tableColumn id="8" name="证据引用"/>
    <x:tableColumn id="9" name="预期结果"/>
    <x:tableColumn id="10" name="案例ID"/>
    <x:tableColumn id="11" name="准备状态"/>
  </x:tableColumns>
  <x:tableStyleInfo name="TableStyleMedium2" showFirstColumn="0" showLastColumn="0" showRowStripes="1" showColumnStripes="0"/>
</x:table>
</file>

<file path=xl/tables/table20.xml><?xml version="1.0" encoding="utf-8"?>
<x:table xmlns:x="http://schemas.openxmlformats.org/spreadsheetml/2006/main" id="20" name="BidEvaluationScoreTable" displayName="BidEvaluationScoreTable" ref="A4:M10" headerRowCount="1" totalsRowCount="0" totalsRowShown="0">
  <x:tableColumns count="13">
    <x:tableColumn id="1" name="案例ID"/>
    <x:tableColumn id="2" name="项目ID"/>
    <x:tableColumn id="3" name="投标ID"/>
    <x:tableColumn id="4" name="供应商ID"/>
    <x:tableColumn id="5" name="供应商名称"/>
    <x:tableColumn id="6" name="技术分"/>
    <x:tableColumn id="7" name="商务分"/>
    <x:tableColumn id="8" name="价格分"/>
    <x:tableColumn id="9" name="关联风险扣分"/>
    <x:tableColumn id="10" name="综合得分"/>
    <x:tableColumn id="11" name="风险分"/>
    <x:tableColumn id="12" name="评级"/>
    <x:tableColumn id="13" name="合作建议"/>
  </x:tableColumns>
  <x:tableStyleInfo name="TableStyleMedium2" showFirstColumn="0" showLastColumn="0" showRowStripes="1" showColumnStripes="0"/>
</x:table>
</file>

<file path=xl/tables/table21.xml><?xml version="1.0" encoding="utf-8"?>
<x:table xmlns:x="http://schemas.openxmlformats.org/spreadsheetml/2006/main" id="21" name="CircularTradeDetailTable" displayName="CircularTradeDetailTable" ref="A4:O12" headerRowCount="1" totalsRowCount="0" totalsRowShown="0">
  <x:tableColumns count="15">
    <x:tableColumn id="1" name="业务ID"/>
    <x:tableColumn id="2" name="业务类型"/>
    <x:tableColumn id="3" name="内部组织"/>
    <x:tableColumn id="4" name="交易对手"/>
    <x:tableColumn id="5" name="标的名称"/>
    <x:tableColumn id="6" name="规格"/>
    <x:tableColumn id="7" name="数量"/>
    <x:tableColumn id="8" name="单价"/>
    <x:tableColumn id="9" name="金额"/>
    <x:tableColumn id="10" name="方向"/>
    <x:tableColumn id="11" name="业务时间"/>
    <x:tableColumn id="12" name="来源账户"/>
    <x:tableColumn id="13" name="目标账户"/>
    <x:tableColumn id="14" name="关联模式"/>
    <x:tableColumn id="15" name="证据结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00c241529aa4e94" /></Relationships>
</file>

<file path=xl/worksheets/_rels/sheet2.xml.rels>&#65279;<?xml version="1.0" encoding="utf-8"?><Relationships xmlns="http://schemas.openxmlformats.org/package/2006/relationships"><Relationship Type="http://schemas.openxmlformats.org/officeDocument/2006/relationships/table" Target="/xl/tables/table1.xml" Id="R7f934bf02f99443f" /></Relationships>
</file>

<file path=xl/worksheets/_rels/sheet3.xml.rels>&#65279;<?xml version="1.0" encoding="utf-8"?><Relationships xmlns="http://schemas.openxmlformats.org/package/2006/relationships"><Relationship Type="http://schemas.openxmlformats.org/officeDocument/2006/relationships/table" Target="/xl/tables/table2.xml" Id="R46099015f9e046ad" /></Relationships>
</file>

<file path=xl/worksheets/_rels/sheet4.xml.rels>&#65279;<?xml version="1.0" encoding="utf-8"?><Relationships xmlns="http://schemas.openxmlformats.org/package/2006/relationships"><Relationship Type="http://schemas.openxmlformats.org/officeDocument/2006/relationships/table" Target="/xl/tables/table3.xml" Id="Rfea88e624fbb4a42" /></Relationships>
</file>

<file path=xl/worksheets/_rels/sheet5.xml.rels>&#65279;<?xml version="1.0" encoding="utf-8"?><Relationships xmlns="http://schemas.openxmlformats.org/package/2006/relationships"><Relationship Type="http://schemas.openxmlformats.org/officeDocument/2006/relationships/table" Target="/xl/tables/table4.xml" Id="R1c00087f97f3444e" /></Relationships>
</file>

<file path=xl/worksheets/_rels/sheet6.xml.rels>&#65279;<?xml version="1.0" encoding="utf-8"?><Relationships xmlns="http://schemas.openxmlformats.org/package/2006/relationships"><Relationship Type="http://schemas.openxmlformats.org/officeDocument/2006/relationships/table" Target="/xl/tables/table5.xml" Id="R6d8a1313d3624a44" /></Relationships>
</file>

<file path=xl/worksheets/_rels/sheet7.xml.rels>&#65279;<?xml version="1.0" encoding="utf-8"?><Relationships xmlns="http://schemas.openxmlformats.org/package/2006/relationships"><Relationship Type="http://schemas.openxmlformats.org/officeDocument/2006/relationships/table" Target="/xl/tables/table6.xml" Id="R728c826bc9a84b98" /></Relationships>
</file>

<file path=xl/worksheets/_rels/sheet8.xml.rels>&#65279;<?xml version="1.0" encoding="utf-8"?><Relationships xmlns="http://schemas.openxmlformats.org/package/2006/relationships"><Relationship Type="http://schemas.openxmlformats.org/officeDocument/2006/relationships/table" Target="/xl/tables/table7.xml" Id="R1f3ef5fb78fe4cb8" /></Relationships>
</file>

<file path=xl/worksheets/_rels/sheet9.xml.rels>&#65279;<?xml version="1.0" encoding="utf-8"?><Relationships xmlns="http://schemas.openxmlformats.org/package/2006/relationships"><Relationship Type="http://schemas.openxmlformats.org/officeDocument/2006/relationships/table" Target="/xl/tables/table8.xml" Id="R8dabb5015f8540ac" /></Relationships>
</file>

<file path=xl/worksheets/_rels/sheet10.xml.rels>&#65279;<?xml version="1.0" encoding="utf-8"?><Relationships xmlns="http://schemas.openxmlformats.org/package/2006/relationships"><Relationship Type="http://schemas.openxmlformats.org/officeDocument/2006/relationships/table" Target="/xl/tables/table9.xml" Id="R7d51d97226a844c9" /></Relationships>
</file>

<file path=xl/worksheets/_rels/sheet11.xml.rels>&#65279;<?xml version="1.0" encoding="utf-8"?><Relationships xmlns="http://schemas.openxmlformats.org/package/2006/relationships"><Relationship Type="http://schemas.openxmlformats.org/officeDocument/2006/relationships/table" Target="/xl/tables/table10.xml" Id="Rd5777e7a89984ea3" /></Relationships>
</file>

<file path=xl/worksheets/_rels/sheet12.xml.rels>&#65279;<?xml version="1.0" encoding="utf-8"?><Relationships xmlns="http://schemas.openxmlformats.org/package/2006/relationships"><Relationship Type="http://schemas.openxmlformats.org/officeDocument/2006/relationships/table" Target="/xl/tables/table11.xml" Id="R79bc522562f8463a" /></Relationships>
</file>

<file path=xl/worksheets/_rels/sheet13.xml.rels>&#65279;<?xml version="1.0" encoding="utf-8"?><Relationships xmlns="http://schemas.openxmlformats.org/package/2006/relationships"><Relationship Type="http://schemas.openxmlformats.org/officeDocument/2006/relationships/table" Target="/xl/tables/table12.xml" Id="R8b9b15f45cb142cb" /></Relationships>
</file>

<file path=xl/worksheets/_rels/sheet14.xml.rels>&#65279;<?xml version="1.0" encoding="utf-8"?><Relationships xmlns="http://schemas.openxmlformats.org/package/2006/relationships"><Relationship Type="http://schemas.openxmlformats.org/officeDocument/2006/relationships/table" Target="/xl/tables/table13.xml" Id="Rd7c93974026b4f9b" /></Relationships>
</file>

<file path=xl/worksheets/_rels/sheet15.xml.rels>&#65279;<?xml version="1.0" encoding="utf-8"?><Relationships xmlns="http://schemas.openxmlformats.org/package/2006/relationships"><Relationship Type="http://schemas.openxmlformats.org/officeDocument/2006/relationships/table" Target="/xl/tables/table14.xml" Id="R6a895ac87bc54914" /></Relationships>
</file>

<file path=xl/worksheets/_rels/sheet16.xml.rels>&#65279;<?xml version="1.0" encoding="utf-8"?><Relationships xmlns="http://schemas.openxmlformats.org/package/2006/relationships"><Relationship Type="http://schemas.openxmlformats.org/officeDocument/2006/relationships/table" Target="/xl/tables/table15.xml" Id="R35bb65d559714da4" /></Relationships>
</file>

<file path=xl/worksheets/_rels/sheet17.xml.rels>&#65279;<?xml version="1.0" encoding="utf-8"?><Relationships xmlns="http://schemas.openxmlformats.org/package/2006/relationships"><Relationship Type="http://schemas.openxmlformats.org/officeDocument/2006/relationships/table" Target="/xl/tables/table16.xml" Id="R27d8515d1760412b" /></Relationships>
</file>

<file path=xl/worksheets/_rels/sheet18.xml.rels>&#65279;<?xml version="1.0" encoding="utf-8"?><Relationships xmlns="http://schemas.openxmlformats.org/package/2006/relationships"><Relationship Type="http://schemas.openxmlformats.org/officeDocument/2006/relationships/table" Target="/xl/tables/table17.xml" Id="Re0b824e1f7844b1d" /></Relationships>
</file>

<file path=xl/worksheets/_rels/sheet19.xml.rels>&#65279;<?xml version="1.0" encoding="utf-8"?><Relationships xmlns="http://schemas.openxmlformats.org/package/2006/relationships"><Relationship Type="http://schemas.openxmlformats.org/officeDocument/2006/relationships/table" Target="/xl/tables/table18.xml" Id="R4ce20ef207dc414c" /></Relationships>
</file>

<file path=xl/worksheets/_rels/sheet20.xml.rels>&#65279;<?xml version="1.0" encoding="utf-8"?><Relationships xmlns="http://schemas.openxmlformats.org/package/2006/relationships"><Relationship Type="http://schemas.openxmlformats.org/officeDocument/2006/relationships/table" Target="/xl/tables/table19.xml" Id="Rb9c5a37e6ff34f1a" /></Relationships>
</file>

<file path=xl/worksheets/_rels/sheet21.xml.rels>&#65279;<?xml version="1.0" encoding="utf-8"?><Relationships xmlns="http://schemas.openxmlformats.org/package/2006/relationships"><Relationship Type="http://schemas.openxmlformats.org/officeDocument/2006/relationships/table" Target="/xl/tables/table20.xml" Id="Ra2edec630a444e25" /></Relationships>
</file>

<file path=xl/worksheets/_rels/sheet22.xml.rels>&#65279;<?xml version="1.0" encoding="utf-8"?><Relationships xmlns="http://schemas.openxmlformats.org/package/2006/relationships"><Relationship Type="http://schemas.openxmlformats.org/officeDocument/2006/relationships/table" Target="/xl/tables/table21.xml" Id="R02a6b56638d24648"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28" hidden="0" customWidth="1"/>
    <x:col min="3" max="3" width="34" hidden="0" customWidth="1"/>
    <x:col min="4" max="4" width="15" hidden="0" customWidth="1"/>
    <x:col min="5" max="5" width="15"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s>
  <x:sheetData>
    <x:row r="1" ht="38" customHeight="1">
      <x:c r="A1" s="136" t="str">
        <x:v>采购与供应链穿透式监管演示数据</x:v>
      </x:c>
      <x:c r="B1" s="136"/>
      <x:c r="C1" s="136"/>
      <x:c r="D1" s="136"/>
      <x:c r="E1" s="136"/>
      <x:c r="F1" s="136"/>
      <x:c r="G1" s="136"/>
      <x:c r="H1" s="136"/>
      <x:c r="I1" s="136"/>
      <x:c r="J1" s="136"/>
      <x:c r="K1" s="136"/>
      <x:c r="L1" s="136"/>
    </x:row>
    <x:row r="2" ht="28" customHeight="1">
      <x:c r="A2" s="138" t="str">
        <x:v>审阅版｜数据全部为虚构｜PKG-01与PKG-05第一版案例数据已补齐｜当前未写入数据库</x:v>
      </x:c>
      <x:c r="B2" s="138"/>
      <x:c r="C2" s="138"/>
      <x:c r="D2" s="138"/>
      <x:c r="E2" s="138"/>
      <x:c r="F2" s="138"/>
      <x:c r="G2" s="138"/>
      <x:c r="H2" s="138"/>
      <x:c r="I2" s="138"/>
      <x:c r="J2" s="138"/>
      <x:c r="K2" s="138"/>
      <x:c r="L2" s="138"/>
    </x:row>
    <x:row r="4">
      <x:c r="A4" s="140" t="str">
        <x:v>演示案例</x:v>
      </x:c>
      <x:c r="B4" s="140"/>
      <x:c r="C4" s="140" t="str">
        <x:v>风险场景</x:v>
      </x:c>
      <x:c r="D4" s="140"/>
      <x:c r="E4" s="140" t="str">
        <x:v>规则数量</x:v>
      </x:c>
      <x:c r="F4" s="140"/>
      <x:c r="G4" s="140" t="str">
        <x:v>命中规则</x:v>
      </x:c>
      <x:c r="H4" s="140"/>
      <x:c r="I4" s="140" t="str">
        <x:v>重大预警</x:v>
      </x:c>
      <x:c r="J4" s="140"/>
      <x:c r="K4" s="140" t="str">
        <x:v>图谱节点</x:v>
      </x:c>
      <x:c r="L4" s="140"/>
      <x:c r="M4" s="244" t="str">
        <x:v>风险模式</x:v>
      </x:c>
      <x:c r="N4" s="244"/>
    </x:row>
    <x:row r="5">
      <x:c r="A5" s="151" t="n">
        <x:f>COUNTA('案例总览'!$A$5:$A$20)</x:f>
        <x:v>8</x:v>
      </x:c>
      <x:c r="B5" s="152"/>
      <x:c r="C5" s="151" t="n">
        <x:f>COUNTA('风险场景'!$A$5:$A$20)</x:f>
        <x:v>7</x:v>
      </x:c>
      <x:c r="D5" s="152"/>
      <x:c r="E5" s="151" t="n">
        <x:f>COUNTA('风险规则'!$A$5:$A$30)</x:f>
        <x:v>14</x:v>
      </x:c>
      <x:c r="F5" s="152"/>
      <x:c r="G5" s="151" t="n">
        <x:f>COUNTIF('规则执行'!$H$5:$H$30,"命中")</x:f>
        <x:v>14</x:v>
      </x:c>
      <x:c r="H5" s="152"/>
      <x:c r="I5" s="151" t="n">
        <x:f>COUNTIF('预警结果'!$H$5:$H$20,"重大")</x:f>
        <x:v>4</x:v>
      </x:c>
      <x:c r="J5" s="152"/>
      <x:c r="K5" s="151" t="n">
        <x:f>COUNTA('图谱节点'!$A$5:$A$300)</x:f>
        <x:v>171</x:v>
      </x:c>
      <x:c r="L5" s="152"/>
      <x:c r="M5" s="255" t="n">
        <x:f>COUNTA('风险模式库'!$B$5:$B$70)</x:f>
        <x:v>53</x:v>
      </x:c>
      <x:c r="N5" s="256"/>
    </x:row>
    <x:row r="6">
      <x:c r="A6" s="153"/>
      <x:c r="B6" s="154"/>
      <x:c r="C6" s="153"/>
      <x:c r="D6" s="154"/>
      <x:c r="E6" s="153"/>
      <x:c r="F6" s="154"/>
      <x:c r="G6" s="153"/>
      <x:c r="H6" s="154"/>
      <x:c r="I6" s="153"/>
      <x:c r="J6" s="154"/>
      <x:c r="K6" s="153"/>
      <x:c r="L6" s="154"/>
      <x:c r="M6" s="257"/>
      <x:c r="N6" s="258"/>
    </x:row>
    <x:row r="8">
      <x:c r="A8" s="156" t="str">
        <x:v>阶段</x:v>
      </x:c>
      <x:c r="B8" s="156" t="str">
        <x:v>场景数</x:v>
      </x:c>
      <x:c r="C8" s="156" t="str">
        <x:v>风险案例数</x:v>
      </x:c>
      <x:c r="D8" s="156" t="str">
        <x:v>预警数</x:v>
      </x:c>
    </x:row>
    <x:row r="9">
      <x:c r="A9" s="159" t="str">
        <x:v>事前</x:v>
      </x:c>
      <x:c r="B9" s="159" t="n">
        <x:f>COUNTIF('风险场景'!$G$5:$G$20,A9)</x:f>
        <x:v>2</x:v>
      </x:c>
      <x:c r="C9" s="159" t="n">
        <x:f>COUNTIF('案例总览'!$C$5:$C$20,A9)</x:f>
        <x:v>2</x:v>
      </x:c>
      <x:c r="D9" s="159" t="n">
        <x:f>COUNTIF('预警结果'!$G$5:$G$20,A9)</x:f>
        <x:v>2</x:v>
      </x:c>
    </x:row>
    <x:row r="10">
      <x:c r="A10" s="159" t="str">
        <x:v>事中</x:v>
      </x:c>
      <x:c r="B10" s="159" t="n">
        <x:f>COUNTIF('风险场景'!$G$5:$G$20,A10)</x:f>
        <x:v>3</x:v>
      </x:c>
      <x:c r="C10" s="159" t="n">
        <x:f>COUNTIF('案例总览'!$C$5:$C$20,A10)</x:f>
        <x:v>3</x:v>
      </x:c>
      <x:c r="D10" s="159" t="n">
        <x:f>COUNTIF('预警结果'!$G$5:$G$20,A10)</x:f>
        <x:v>3</x:v>
      </x:c>
    </x:row>
    <x:row r="11">
      <x:c r="A11" s="159" t="str">
        <x:v>事后</x:v>
      </x:c>
      <x:c r="B11" s="159" t="n">
        <x:f>COUNTIF('风险场景'!$G$5:$G$20,A11)</x:f>
        <x:v>2</x:v>
      </x:c>
      <x:c r="C11" s="159" t="n">
        <x:f>COUNTIF('案例总览'!$C$5:$C$20,A11)</x:f>
        <x:v>2</x:v>
      </x:c>
      <x:c r="D11" s="159" t="n">
        <x:f>COUNTIF('预警结果'!$G$5:$G$20,A11)</x:f>
        <x:v>2</x:v>
      </x:c>
    </x:row>
    <x:row r="14">
      <x:c r="A14" s="161" t="str">
        <x:v>案例与对象</x:v>
      </x:c>
      <x:c r="B14" s="161" t="str">
        <x:v>风险分值</x:v>
      </x:c>
    </x:row>
    <x:row r="15">
      <x:c r="A15" s="164" t="str">
        <x:f>'预警结果'!$B$5&amp;" "&amp;'预警结果'!$F$5</x:f>
        <x:v>CASE-001 智能算力节点扩容采购项目</x:v>
      </x:c>
      <x:c r="B15" s="165" t="n">
        <x:f>'预警结果'!$L$5</x:f>
        <x:v>92</x:v>
      </x:c>
    </x:row>
    <x:row r="16">
      <x:c r="A16" s="164" t="str">
        <x:f>'预警结果'!$B$6&amp;" "&amp;'预警结果'!$F$6</x:f>
        <x:v>CASE-002 办公终端集中采购需求</x:v>
      </x:c>
      <x:c r="B16" s="165" t="n">
        <x:f>'预警结果'!$L$6</x:f>
        <x:v>76</x:v>
      </x:c>
    </x:row>
    <x:row r="17">
      <x:c r="A17" s="164" t="str">
        <x:f>'预警结果'!$B$7&amp;" "&amp;'预警结果'!$F$7</x:f>
        <x:v>CASE-003 数据中台二期建设项目</x:v>
      </x:c>
      <x:c r="B17" s="165" t="n">
        <x:f>'预警结果'!$L$7</x:f>
        <x:v>92.5</x:v>
      </x:c>
    </x:row>
    <x:row r="18">
      <x:c r="A18" s="164" t="str">
        <x:f>'预警结果'!$B$8&amp;" "&amp;'预警结果'!$F$8</x:f>
        <x:v>CASE-004 核心网络安全设备采购项目</x:v>
      </x:c>
      <x:c r="B18" s="165" t="n">
        <x:f>'预警结果'!$L$8</x:f>
        <x:v>93.5</x:v>
      </x:c>
    </x:row>
    <x:row r="19">
      <x:c r="A19" s="164" t="str">
        <x:f>'预警结果'!$B$9&amp;" "&amp;'预警结果'!$F$9</x:f>
        <x:v>CASE-005 云资源运维服务采购项目</x:v>
      </x:c>
      <x:c r="B19" s="165" t="n">
        <x:f>'预警结果'!$L$9</x:f>
        <x:v>84</x:v>
      </x:c>
    </x:row>
    <x:row r="20">
      <x:c r="A20" s="164" t="str">
        <x:f>'预警结果'!$B$10&amp;" "&amp;'预警结果'!$F$10</x:f>
        <x:v>CASE-006 存储设备扩容采购合同</x:v>
      </x:c>
      <x:c r="B20" s="165" t="n">
        <x:f>'预警结果'!$L$10</x:f>
        <x:v>92.5</x:v>
      </x:c>
    </x:row>
    <x:row r="21">
      <x:c r="A21" s="164" t="str">
        <x:f>'预警结果'!$B$11&amp;" "&amp;'预警结果'!$F$11</x:f>
        <x:v>CASE-007 安全运营服务采购合同</x:v>
      </x:c>
      <x:c r="B21" s="165" t="n">
        <x:f>'预警结果'!$L$11</x:f>
        <x:v>80</x:v>
      </x:c>
    </x:row>
    <x:row r="24">
      <x:c r="A24" s="167" t="str">
        <x:v>阶段</x:v>
      </x:c>
      <x:c r="B24" s="167" t="str">
        <x:v>风险场景</x:v>
      </x:c>
      <x:c r="C24" s="167" t="str">
        <x:v>主案例</x:v>
      </x:c>
      <x:c r="D24" s="167" t="str">
        <x:v>风险等级</x:v>
      </x:c>
      <x:c r="E24" s="167" t="str">
        <x:v>风险分值</x:v>
      </x:c>
    </x:row>
    <x:row r="25">
      <x:c r="A25" s="168" t="str">
        <x:f>'风险场景'!$G$5</x:f>
        <x:v>事前</x:v>
      </x:c>
      <x:c r="B25" s="168" t="str">
        <x:f>'风险场景'!$D$5</x:f>
        <x:v>采购方式不合规</x:v>
      </x:c>
      <x:c r="C25" s="168" t="str">
        <x:f>'案例总览'!$B$5</x:f>
        <x:v>智能算力节点扩容采购方式不合规</x:v>
      </x:c>
      <x:c r="D25" s="168" t="str">
        <x:f>'预警结果'!$H$5</x:f>
        <x:v>重大</x:v>
      </x:c>
      <x:c r="E25" s="168" t="n">
        <x:f>'预警结果'!$L$5</x:f>
        <x:v>92</x:v>
      </x:c>
    </x:row>
    <x:row r="26">
      <x:c r="A26" s="168" t="str">
        <x:f>'风险场景'!$G$6</x:f>
        <x:v>事前</x:v>
      </x:c>
      <x:c r="B26" s="168" t="str">
        <x:f>'风险场景'!$D$6</x:f>
        <x:v>拆分采购规避集中采购</x:v>
      </x:c>
      <x:c r="C26" s="168" t="str">
        <x:f>'案例总览'!$B$6</x:f>
        <x:v>办公终端需求拆分采购</x:v>
      </x:c>
      <x:c r="D26" s="168" t="str">
        <x:f>'预警结果'!$H$6</x:f>
        <x:v>高</x:v>
      </x:c>
      <x:c r="E26" s="168" t="n">
        <x:f>'预警结果'!$L$6</x:f>
        <x:v>76</x:v>
      </x:c>
    </x:row>
    <x:row r="27">
      <x:c r="A27" s="168" t="str">
        <x:f>'风险场景'!$G$7</x:f>
        <x:v>事中</x:v>
      </x:c>
      <x:c r="B27" s="168" t="str">
        <x:f>'风险场景'!$D$7</x:f>
        <x:v>虚假招标</x:v>
      </x:c>
      <x:c r="C27" s="168" t="str">
        <x:f>'案例总览'!$B$7</x:f>
        <x:v>数据中台二期虚假招标</x:v>
      </x:c>
      <x:c r="D27" s="168" t="str">
        <x:f>'预警结果'!$H$7</x:f>
        <x:v>重大</x:v>
      </x:c>
      <x:c r="E27" s="168" t="n">
        <x:f>'预警结果'!$L$7</x:f>
        <x:v>92.5</x:v>
      </x:c>
    </x:row>
    <x:row r="28">
      <x:c r="A28" s="168" t="str">
        <x:f>'风险场景'!$G$8</x:f>
        <x:v>事中</x:v>
      </x:c>
      <x:c r="B28" s="168" t="str">
        <x:f>'风险场景'!$D$8</x:f>
        <x:v>围标串标</x:v>
      </x:c>
      <x:c r="C28" s="168" t="str">
        <x:f>'案例总览'!$B$8</x:f>
        <x:v>核心网络安全设备围标串标</x:v>
      </x:c>
      <x:c r="D28" s="168" t="str">
        <x:f>'预警结果'!$H$8</x:f>
        <x:v>重大</x:v>
      </x:c>
      <x:c r="E28" s="168" t="n">
        <x:f>'预警结果'!$L$8</x:f>
        <x:v>93.5</x:v>
      </x:c>
    </x:row>
    <x:row r="29">
      <x:c r="A29" s="168" t="str">
        <x:f>'风险场景'!$G$9</x:f>
        <x:v>事中</x:v>
      </x:c>
      <x:c r="B29" s="168" t="str">
        <x:f>'风险场景'!$D$9</x:f>
        <x:v>采购流程不规范</x:v>
      </x:c>
      <x:c r="C29" s="168" t="str">
        <x:f>'案例总览'!$B$9</x:f>
        <x:v>云资源运维服务采购流程不规范</x:v>
      </x:c>
      <x:c r="D29" s="168" t="str">
        <x:f>'预警结果'!$H$9</x:f>
        <x:v>高</x:v>
      </x:c>
      <x:c r="E29" s="168" t="n">
        <x:f>'预警结果'!$L$9</x:f>
        <x:v>84</x:v>
      </x:c>
    </x:row>
    <x:row r="30">
      <x:c r="A30" s="168" t="str">
        <x:f>'风险场景'!$G$10</x:f>
        <x:v>事后</x:v>
      </x:c>
      <x:c r="B30" s="168" t="str">
        <x:f>'风险场景'!$D$10</x:f>
        <x:v>虚假贸易</x:v>
      </x:c>
      <x:c r="C30" s="168" t="str">
        <x:f>'案例总览'!$B$10</x:f>
        <x:v>存储设备扩容虚假贸易</x:v>
      </x:c>
      <x:c r="D30" s="168" t="str">
        <x:f>'预警结果'!$H$10</x:f>
        <x:v>重大</x:v>
      </x:c>
      <x:c r="E30" s="168" t="n">
        <x:f>'预警结果'!$L$10</x:f>
        <x:v>92.5</x:v>
      </x:c>
    </x:row>
    <x:row r="31">
      <x:c r="A31" s="168" t="str">
        <x:f>'风险场景'!$G$11</x:f>
        <x:v>事后</x:v>
      </x:c>
      <x:c r="B31" s="168" t="str">
        <x:f>'风险场景'!$D$11</x:f>
        <x:v>中标后异常合同变更与超前付款</x:v>
      </x:c>
      <x:c r="C31" s="168" t="str">
        <x:f>'案例总览'!$B$11</x:f>
        <x:v>安全运营服务异常变更与超前付款</x:v>
      </x:c>
      <x:c r="D31" s="168" t="str">
        <x:f>'预警结果'!$H$11</x:f>
        <x:v>高</x:v>
      </x:c>
      <x:c r="E31" s="168" t="n">
        <x:f>'预警结果'!$L$11</x:f>
        <x:v>80</x:v>
      </x:c>
    </x:row>
    <x:row r="34">
      <x:c r="A34" s="188" t="str">
        <x:v>审阅重点：① PKG-05关联投标链路和智能评分是否满足演示；② PKG-01合同、主体、三流和资金闭环是否符合业务逻辑；③ 规则阈值与预期结论确认后，再生成正式规则版本及数据库入库脚本。</x:v>
      </x:c>
      <x:c r="B34" s="189"/>
      <x:c r="C34" s="189"/>
      <x:c r="D34" s="189"/>
      <x:c r="E34" s="189"/>
      <x:c r="F34" s="189"/>
      <x:c r="G34" s="189"/>
      <x:c r="H34" s="189"/>
      <x:c r="I34" s="189"/>
      <x:c r="J34" s="189"/>
      <x:c r="K34" s="189"/>
      <x:c r="L34" s="190"/>
    </x:row>
    <x:row r="35">
      <x:c r="A35" s="191"/>
      <x:c r="B35" s="192"/>
      <x:c r="C35" s="192"/>
      <x:c r="D35" s="192"/>
      <x:c r="E35" s="192"/>
      <x:c r="F35" s="192"/>
      <x:c r="G35" s="192"/>
      <x:c r="H35" s="192"/>
      <x:c r="I35" s="192"/>
      <x:c r="J35" s="192"/>
      <x:c r="K35" s="192"/>
      <x:c r="L35" s="193"/>
    </x:row>
    <x:row r="36">
      <x:c r="A36" s="191"/>
      <x:c r="B36" s="192"/>
      <x:c r="C36" s="192"/>
      <x:c r="D36" s="192"/>
      <x:c r="E36" s="192"/>
      <x:c r="F36" s="192"/>
      <x:c r="G36" s="192"/>
      <x:c r="H36" s="192"/>
      <x:c r="I36" s="192"/>
      <x:c r="J36" s="192"/>
      <x:c r="K36" s="192"/>
      <x:c r="L36" s="193"/>
    </x:row>
    <x:row r="37">
      <x:c r="A37" s="194"/>
      <x:c r="B37" s="195"/>
      <x:c r="C37" s="195"/>
      <x:c r="D37" s="195"/>
      <x:c r="E37" s="195"/>
      <x:c r="F37" s="195"/>
      <x:c r="G37" s="195"/>
      <x:c r="H37" s="195"/>
      <x:c r="I37" s="195"/>
      <x:c r="J37" s="195"/>
      <x:c r="K37" s="195"/>
      <x:c r="L37" s="196"/>
    </x:row>
    <x:row r="39">
      <x:c r="A39" s="260" t="str">
        <x:v>模式准备度</x:v>
      </x:c>
      <x:c r="B39" s="260" t="str">
        <x:v>模式数</x:v>
      </x:c>
    </x:row>
    <x:row r="40">
      <x:c r="A40" s="159" t="str">
        <x:v>当前已覆盖</x:v>
      </x:c>
      <x:c r="B40" s="261" t="n">
        <x:f>COUNTIF('风险模式库'!$J$5:$J$70,A40)</x:f>
        <x:v>19</x:v>
      </x:c>
    </x:row>
    <x:row r="41">
      <x:c r="A41" s="159" t="str">
        <x:v>部分覆盖</x:v>
      </x:c>
      <x:c r="B41" s="261" t="n">
        <x:f>COUNTIF('风险模式库'!$J$5:$J$70,A41)</x:f>
        <x:v>8</x:v>
      </x:c>
    </x:row>
    <x:row r="42">
      <x:c r="A42" s="159" t="str">
        <x:v>待新增内部数据</x:v>
      </x:c>
      <x:c r="B42" s="261" t="n">
        <x:f>COUNTIF('风险模式库'!$J$5:$J$70,A42)</x:f>
        <x:v>17</x:v>
      </x:c>
    </x:row>
    <x:row r="43">
      <x:c r="A43" s="159" t="str">
        <x:v>依赖外部数据</x:v>
      </x:c>
      <x:c r="B43" s="261" t="n">
        <x:f>COUNTIF('风险模式库'!$J$5:$J$70,A43)</x:f>
        <x:v>8</x:v>
      </x:c>
    </x:row>
    <x:row r="44">
      <x:c r="A44" s="159" t="str">
        <x:v>智能能力输出</x:v>
      </x:c>
      <x:c r="B44" s="261" t="n">
        <x:f>COUNTIF('风险模式库'!$J$5:$J$70,A44)</x:f>
        <x:v>1</x:v>
      </x:c>
    </x:row>
    <x:row r="47">
      <x:c r="A47" s="282" t="str">
        <x:v>模式库定位：53项模式是“能力资产目录”，当前7个风险场景和14条规则是“已落地演示资产”。后续按案例包补充数据后，再逐步建立模式—场景—规则版本绑定。</x:v>
      </x:c>
      <x:c r="B47" s="283"/>
      <x:c r="C47" s="283"/>
      <x:c r="D47" s="284"/>
    </x:row>
    <x:row r="48">
      <x:c r="A48" s="285"/>
      <x:c r="B48" s="286"/>
      <x:c r="C48" s="286"/>
      <x:c r="D48" s="287"/>
    </x:row>
    <x:row r="49">
      <x:c r="A49" s="285"/>
      <x:c r="B49" s="286"/>
      <x:c r="C49" s="286"/>
      <x:c r="D49" s="287"/>
    </x:row>
    <x:row r="50">
      <x:c r="A50" s="285"/>
      <x:c r="B50" s="286"/>
      <x:c r="C50" s="286"/>
      <x:c r="D50" s="287"/>
    </x:row>
    <x:row r="51">
      <x:c r="A51" s="285"/>
      <x:c r="B51" s="286"/>
      <x:c r="C51" s="286"/>
      <x:c r="D51" s="287"/>
    </x:row>
    <x:row r="52">
      <x:c r="A52" s="285"/>
      <x:c r="B52" s="286"/>
      <x:c r="C52" s="286"/>
      <x:c r="D52" s="287"/>
    </x:row>
    <x:row r="53">
      <x:c r="A53" s="288"/>
      <x:c r="B53" s="289"/>
      <x:c r="C53" s="289"/>
      <x:c r="D53" s="290"/>
    </x:row>
  </x:sheetData>
  <x:mergeCells>
    <x:mergeCell ref="A4:B4"/>
    <x:mergeCell ref="C4:D4"/>
    <x:mergeCell ref="E4:F4"/>
    <x:mergeCell ref="G4:H4"/>
    <x:mergeCell ref="I4:J4"/>
    <x:mergeCell ref="K4:L4"/>
    <x:mergeCell ref="A5:B6"/>
    <x:mergeCell ref="C5:D6"/>
    <x:mergeCell ref="E5:F6"/>
    <x:mergeCell ref="G5:H6"/>
    <x:mergeCell ref="I5:J6"/>
    <x:mergeCell ref="K5:L6"/>
    <x:mergeCell ref="A1:N1"/>
    <x:mergeCell ref="A2:N2"/>
    <x:mergeCell ref="A34:N37"/>
    <x:mergeCell ref="M4:N4"/>
    <x:mergeCell ref="M5:N6"/>
    <x:mergeCell ref="A47:D53"/>
  </x:mergeCells>
  <x:conditionalFormatting sqref="B15:B21">
    <x:cfRule type="dataBar" priority="1">
      <x:dataBar>
        <x:cfvo type="min"/>
        <x:cfvo type="max"/>
        <x:color rgb="FFC00000"/>
      </x:dataBar>
      <x:extLst>
        <x:ext xmlns:x14="http://schemas.microsoft.com/office/spreadsheetml/2009/9/main" uri="{B025F937-C7B1-47D3-B67F-A62EFF666E3E}">
          <x14:id>{EC6E5E5F-3A7B-1791-761E-11C1F8ADF01B}</x14:id>
        </x:ext>
      </x:extLst>
    </x:cfRule>
  </x:conditionalFormatting>
  <x:pageMargins left="0.7" right="0.7" top="0.75" bottom="0.75" header="0.3" footer="0.3"/>
  <x:drawing xmlns:r="http://schemas.openxmlformats.org/officeDocument/2006/relationships" r:id="R600c241529aa4e94"/>
  <x:extLst>
    <x:ext xmlns:x14="http://schemas.microsoft.com/office/spreadsheetml/2009/9/main" xmlns:xm="http://schemas.microsoft.com/office/excel/2006/main" uri="{78C0D931-6437-407d-A8EE-F0AAD7539E65}">
      <x14:conditionalFormattings>
        <x14:conditionalFormatting>
          <x14:cfRule type="dataBar" priority="1" id="{EC6E5E5F-3A7B-1791-761E-11C1F8ADF01B}">
            <x14:dataBar gradient="1">
              <x14:cfvo type="min"/>
              <x14:cfvo type="max"/>
              <x14:fillColor rgb="FFC00000"/>
            </x14:dataBar>
          </x14:cfRule>
          <xm:sqref>B15:B21</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0" hidden="0" customWidth="1"/>
    <x:col min="4" max="4" width="17" hidden="0" customWidth="1"/>
    <x:col min="5" max="5" width="20" hidden="0" customWidth="1"/>
    <x:col min="6" max="6" width="13" hidden="0" customWidth="1"/>
    <x:col min="7" max="7" width="14" hidden="0" customWidth="1"/>
    <x:col min="8" max="8" width="14" hidden="0" customWidth="1"/>
    <x:col min="9" max="9" width="22" hidden="0" customWidth="1"/>
    <x:col min="10" max="10" width="10" hidden="0" customWidth="1"/>
    <x:col min="11" max="11" width="44" hidden="0" customWidth="1"/>
    <x:col min="12" max="12" width="12" hidden="0" customWidth="1"/>
  </x:cols>
  <x:sheetData>
    <x:row r="1" ht="34" customHeight="1">
      <x:c r="A1" s="197" t="str">
        <x:v>采购与供应链演示案例总览</x:v>
      </x:c>
      <x:c r="B1" s="197"/>
      <x:c r="C1" s="197"/>
      <x:c r="D1" s="197"/>
      <x:c r="E1" s="197"/>
      <x:c r="F1" s="197"/>
      <x:c r="G1" s="197"/>
      <x:c r="H1" s="197"/>
      <x:c r="I1" s="197"/>
      <x:c r="J1" s="197"/>
      <x:c r="K1" s="197"/>
      <x:c r="L1" s="197"/>
    </x:row>
    <x:row r="2" ht="32" customHeight="1">
      <x:c r="A2" s="198" t="str">
        <x:v>全部主体、金额、证据和时间均为虚构演示数据。7个风险样本覆盖事前、事中、事后，另含1个合规对照样本。</x:v>
      </x:c>
      <x:c r="B2" s="198"/>
      <x:c r="C2" s="198"/>
      <x:c r="D2" s="198"/>
      <x:c r="E2" s="198"/>
      <x:c r="F2" s="198"/>
      <x:c r="G2" s="198"/>
      <x:c r="H2" s="198"/>
      <x:c r="I2" s="198"/>
      <x:c r="J2" s="198"/>
      <x:c r="K2" s="198"/>
      <x:c r="L2" s="198"/>
    </x:row>
    <x:row r="3">
      <x:c r="A3" s="199"/>
      <x:c r="B3" s="199"/>
      <x:c r="C3" s="199"/>
      <x:c r="D3" s="199"/>
      <x:c r="E3" s="199"/>
      <x:c r="F3" s="199"/>
      <x:c r="G3" s="199"/>
      <x:c r="H3" s="199"/>
      <x:c r="I3" s="199"/>
      <x:c r="J3" s="199"/>
      <x:c r="K3" s="199"/>
      <x:c r="L3" s="199"/>
    </x:row>
    <x:row r="4" ht="32" customHeight="1">
      <x:c r="A4" s="200" t="str">
        <x:v>案例ID</x:v>
      </x:c>
      <x:c r="B4" s="201" t="str">
        <x:v>案例名称</x:v>
      </x:c>
      <x:c r="C4" s="201" t="str">
        <x:v>阶段</x:v>
      </x:c>
      <x:c r="D4" s="201" t="str">
        <x:v>主风险场景</x:v>
      </x:c>
      <x:c r="E4" s="201" t="str">
        <x:v>组织</x:v>
      </x:c>
      <x:c r="F4" s="201" t="str">
        <x:v>主对象ID</x:v>
      </x:c>
      <x:c r="G4" s="201" t="str">
        <x:v>金额（元）</x:v>
      </x:c>
      <x:c r="H4" s="201" t="str">
        <x:v>采购方式</x:v>
      </x:c>
      <x:c r="I4" s="201" t="str">
        <x:v>案例时间范围</x:v>
      </x:c>
      <x:c r="J4" s="201" t="str">
        <x:v>预期结果</x:v>
      </x:c>
      <x:c r="K4" s="201" t="str">
        <x:v>风险摘要</x:v>
      </x:c>
      <x:c r="L4" s="202" t="str">
        <x:v>样本类型</x:v>
      </x:c>
    </x:row>
    <x:row r="5">
      <x:c r="A5" s="30" t="str">
        <x:v>CASE-001</x:v>
      </x:c>
      <x:c r="B5" s="30" t="str">
        <x:v>智能算力节点扩容采购方式不合规</x:v>
      </x:c>
      <x:c r="C5" s="30" t="str">
        <x:v>事前</x:v>
      </x:c>
      <x:c r="D5" s="30" t="str">
        <x:v>SCENE-PROC-001</x:v>
      </x:c>
      <x:c r="E5" s="30" t="str">
        <x:v>数字基础设施事业部</x:v>
      </x:c>
      <x:c r="F5" s="30" t="str">
        <x:v>PRJ-001</x:v>
      </x:c>
      <x:c r="G5" s="36" t="n">
        <x:v>5280000</x:v>
      </x:c>
      <x:c r="H5" s="30" t="str">
        <x:v>竞争性谈判</x:v>
      </x:c>
      <x:c r="I5" s="30" t="str">
        <x:v>2026-06-28 至 2026-07-05</x:v>
      </x:c>
      <x:c r="J5" s="30" t="str">
        <x:v>命中</x:v>
      </x:c>
      <x:c r="K5" s="30" t="str">
        <x:v>达到公开招标阈值，未取得有效例外审批即选择竞争性谈判。</x:v>
      </x:c>
      <x:c r="L5" s="30" t="str">
        <x:v>风险样本</x:v>
      </x:c>
    </x:row>
    <x:row r="6">
      <x:c r="A6" s="31" t="str">
        <x:v>CASE-002</x:v>
      </x:c>
      <x:c r="B6" s="31" t="str">
        <x:v>办公终端需求拆分采购</x:v>
      </x:c>
      <x:c r="C6" s="31" t="str">
        <x:v>事前</x:v>
      </x:c>
      <x:c r="D6" s="31" t="str">
        <x:v>SCENE-PROC-002</x:v>
      </x:c>
      <x:c r="E6" s="31" t="str">
        <x:v>集团采购中心</x:v>
      </x:c>
      <x:c r="F6" s="31" t="str">
        <x:v>DMD-002</x:v>
      </x:c>
      <x:c r="G6" s="37" t="n">
        <x:v>2160000</x:v>
      </x:c>
      <x:c r="H6" s="31" t="str">
        <x:v>询价采购×3</x:v>
      </x:c>
      <x:c r="I6" s="31" t="str">
        <x:v>2026-06-01 至 2026-06-29</x:v>
      </x:c>
      <x:c r="J6" s="31" t="str">
        <x:v>命中</x:v>
      </x:c>
      <x:c r="K6" s="31" t="str">
        <x:v>同一需求、同一品类、同一供应商在30天内拆成3单，累计超过集中采购阈值。</x:v>
      </x:c>
      <x:c r="L6" s="31" t="str">
        <x:v>风险样本</x:v>
      </x:c>
    </x:row>
    <x:row r="7">
      <x:c r="A7" s="31" t="str">
        <x:v>CASE-003</x:v>
      </x:c>
      <x:c r="B7" s="31" t="str">
        <x:v>数据中台二期虚假招标</x:v>
      </x:c>
      <x:c r="C7" s="31" t="str">
        <x:v>事中</x:v>
      </x:c>
      <x:c r="D7" s="31" t="str">
        <x:v>SCENE-PROC-003</x:v>
      </x:c>
      <x:c r="E7" s="31" t="str">
        <x:v>数据智能事业部</x:v>
      </x:c>
      <x:c r="F7" s="31" t="str">
        <x:v>PRJ-003</x:v>
      </x:c>
      <x:c r="G7" s="37" t="n">
        <x:v>8600000</x:v>
      </x:c>
      <x:c r="H7" s="31" t="str">
        <x:v>公开招标</x:v>
      </x:c>
      <x:c r="I7" s="31" t="str">
        <x:v>2026-05-20 至 2026-06-28</x:v>
      </x:c>
      <x:c r="J7" s="31" t="str">
        <x:v>命中</x:v>
      </x:c>
      <x:c r="K7" s="31" t="str">
        <x:v>3家投标主体共用IP和设备，文件模板及作者一致，两家主体人员规模异常。</x:v>
      </x:c>
      <x:c r="L7" s="31" t="str">
        <x:v>风险样本</x:v>
      </x:c>
    </x:row>
    <x:row r="8">
      <x:c r="A8" s="31" t="str">
        <x:v>CASE-004</x:v>
      </x:c>
      <x:c r="B8" s="31" t="str">
        <x:v>核心网络安全设备围标串标</x:v>
      </x:c>
      <x:c r="C8" s="31" t="str">
        <x:v>事中</x:v>
      </x:c>
      <x:c r="D8" s="31" t="str">
        <x:v>SCENE-PROC-004</x:v>
      </x:c>
      <x:c r="E8" s="31" t="str">
        <x:v>信息安全事业部</x:v>
      </x:c>
      <x:c r="F8" s="31" t="str">
        <x:v>PRJ-004</x:v>
      </x:c>
      <x:c r="G8" s="37" t="n">
        <x:v>12400000</x:v>
      </x:c>
      <x:c r="H8" s="31" t="str">
        <x:v>公开招标</x:v>
      </x:c>
      <x:c r="I8" s="31" t="str">
        <x:v>2026-05-01 至 2026-06-03</x:v>
      </x:c>
      <x:c r="J8" s="31" t="str">
        <x:v>命中</x:v>
      </x:c>
      <x:c r="K8" s="31" t="str">
        <x:v>3家投标人受同一实际控制人控制，保证金来自同一账户，报价呈等差排列。</x:v>
      </x:c>
      <x:c r="L8" s="31" t="str">
        <x:v>风险样本</x:v>
      </x:c>
    </x:row>
    <x:row r="9">
      <x:c r="A9" s="31" t="str">
        <x:v>CASE-005</x:v>
      </x:c>
      <x:c r="B9" s="31" t="str">
        <x:v>云资源运维服务采购流程不规范</x:v>
      </x:c>
      <x:c r="C9" s="31" t="str">
        <x:v>事中</x:v>
      </x:c>
      <x:c r="D9" s="31" t="str">
        <x:v>SCENE-PROC-005</x:v>
      </x:c>
      <x:c r="E9" s="31" t="str">
        <x:v>云运营事业部</x:v>
      </x:c>
      <x:c r="F9" s="31" t="str">
        <x:v>PRJ-005</x:v>
      </x:c>
      <x:c r="G9" s="37" t="n">
        <x:v>3200000</x:v>
      </x:c>
      <x:c r="H9" s="31" t="str">
        <x:v>公开招标</x:v>
      </x:c>
      <x:c r="I9" s="31" t="str">
        <x:v>2026-06-01 至 2026-06-14</x:v>
      </x:c>
      <x:c r="J9" s="31" t="str">
        <x:v>命中</x:v>
      </x:c>
      <x:c r="K9" s="31" t="str">
        <x:v>招标公告早于预算批复，投标期仅7天，评审专家未留存随机抽取记录。</x:v>
      </x:c>
      <x:c r="L9" s="31" t="str">
        <x:v>风险样本</x:v>
      </x:c>
    </x:row>
    <x:row r="10">
      <x:c r="A10" s="31" t="str">
        <x:v>CASE-006</x:v>
      </x:c>
      <x:c r="B10" s="31" t="str">
        <x:v>存储设备扩容虚假贸易</x:v>
      </x:c>
      <x:c r="C10" s="31" t="str">
        <x:v>事后</x:v>
      </x:c>
      <x:c r="D10" s="31" t="str">
        <x:v>SCENE-SC-006</x:v>
      </x:c>
      <x:c r="E10" s="31" t="str">
        <x:v>数字基础设施事业部</x:v>
      </x:c>
      <x:c r="F10" s="31" t="str">
        <x:v>CON-006</x:v>
      </x:c>
      <x:c r="G10" s="37" t="n">
        <x:v>4860000</x:v>
      </x:c>
      <x:c r="H10" s="31" t="str">
        <x:v>公开招标</x:v>
      </x:c>
      <x:c r="I10" s="31" t="str">
        <x:v>2026-05-10 至 2026-06-30</x:v>
      </x:c>
      <x:c r="J10" s="31" t="str">
        <x:v>命中</x:v>
      </x:c>
      <x:c r="K10" s="31" t="str">
        <x:v>合同、发票、付款齐全但物流与入库异常，95%资金次日回流至采购方关联企业。</x:v>
      </x:c>
      <x:c r="L10" s="31" t="str">
        <x:v>风险样本</x:v>
      </x:c>
    </x:row>
    <x:row r="11">
      <x:c r="A11" s="31" t="str">
        <x:v>CASE-007</x:v>
      </x:c>
      <x:c r="B11" s="31" t="str">
        <x:v>安全运营服务异常变更与超前付款</x:v>
      </x:c>
      <x:c r="C11" s="31" t="str">
        <x:v>事后</x:v>
      </x:c>
      <x:c r="D11" s="31" t="str">
        <x:v>SCENE-CON-007</x:v>
      </x:c>
      <x:c r="E11" s="31" t="str">
        <x:v>信息安全事业部</x:v>
      </x:c>
      <x:c r="F11" s="31" t="str">
        <x:v>CON-007</x:v>
      </x:c>
      <x:c r="G11" s="37" t="n">
        <x:v>9300000</x:v>
      </x:c>
      <x:c r="H11" s="31" t="str">
        <x:v>公开招标</x:v>
      </x:c>
      <x:c r="I11" s="31" t="str">
        <x:v>2026-04-20 至 2026-06-30</x:v>
      </x:c>
      <x:c r="J11" s="31" t="str">
        <x:v>命中</x:v>
      </x:c>
      <x:c r="K11" s="31" t="str">
        <x:v>中标后18天合同金额增加37.8%，验收前累计付款达到90%。</x:v>
      </x:c>
      <x:c r="L11" s="31" t="str">
        <x:v>风险样本</x:v>
      </x:c>
    </x:row>
    <x:row r="12">
      <x:c r="A12" s="32" t="str">
        <x:v>CASE-008</x:v>
      </x:c>
      <x:c r="B12" s="32" t="str">
        <x:v>通用服务器框架采购合规对照</x:v>
      </x:c>
      <x:c r="C12" s="32" t="str">
        <x:v>全流程</x:v>
      </x:c>
      <x:c r="D12" s="32" t="str">
        <x:v>对照样本</x:v>
      </x:c>
      <x:c r="E12" s="32" t="str">
        <x:v>数字基础设施事业部</x:v>
      </x:c>
      <x:c r="F12" s="32" t="str">
        <x:v>PRJ-008</x:v>
      </x:c>
      <x:c r="G12" s="38" t="n">
        <x:v>9800000</x:v>
      </x:c>
      <x:c r="H12" s="32" t="str">
        <x:v>公开招标</x:v>
      </x:c>
      <x:c r="I12" s="32" t="str">
        <x:v>2026-04-01 至 2026-06-15</x:v>
      </x:c>
      <x:c r="J12" s="32" t="str">
        <x:v>未命中</x:v>
      </x:c>
      <x:c r="K12" s="32" t="str">
        <x:v>预算、招标、评审、合同、验收、付款链路完整，用于展示规则未命中。</x:v>
      </x:c>
      <x:c r="L12" s="32" t="str">
        <x:v>合规对照</x:v>
      </x:c>
    </x:row>
  </x:sheetData>
  <x:mergeCells>
    <x:mergeCell ref="A1:L1"/>
    <x:mergeCell ref="A2:L2"/>
  </x:mergeCells>
  <x:pageMargins left="0.7" right="0.7" top="0.75" bottom="0.75" header="0.3" footer="0.3"/>
  <x:tableParts count="1">
    <x:tablePart xmlns:r="http://schemas.openxmlformats.org/officeDocument/2006/relationships" r:id="R7f934bf02f9944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14" hidden="0" customWidth="1"/>
    <x:col min="3" max="3" width="12" hidden="0" customWidth="1"/>
    <x:col min="4" max="4" width="16" hidden="0" customWidth="1"/>
    <x:col min="5" max="5" width="52" hidden="0" customWidth="1"/>
  </x:cols>
  <x:sheetData>
    <x:row r="1" ht="34" customHeight="1">
      <x:c r="A1" s="4" t="str">
        <x:v>演示规则参数字典</x:v>
      </x:c>
      <x:c r="B1" s="4"/>
      <x:c r="C1" s="4"/>
      <x:c r="D1" s="4"/>
      <x:c r="E1" s="4"/>
    </x:row>
    <x:row r="2" ht="32" customHeight="1">
      <x:c r="A2" s="8" t="str">
        <x:v>阈值仅用于演示规则效果，不代表正式制度口径；正式入库前应由采购、法务、审计共同确认。</x:v>
      </x:c>
      <x:c r="B2" s="8"/>
      <x:c r="C2" s="8"/>
      <x:c r="D2" s="8"/>
      <x:c r="E2" s="8"/>
    </x:row>
    <x:row r="4" ht="32" customHeight="1">
      <x:c r="A4" s="50" t="str">
        <x:v>参数编码</x:v>
      </x:c>
      <x:c r="B4" s="51" t="str">
        <x:v>参数值</x:v>
      </x:c>
      <x:c r="C4" s="51" t="str">
        <x:v>单位</x:v>
      </x:c>
      <x:c r="D4" s="51" t="str">
        <x:v>适用场景</x:v>
      </x:c>
      <x:c r="E4" s="52" t="str">
        <x:v>说明</x:v>
      </x:c>
    </x:row>
    <x:row r="5">
      <x:c r="A5" s="30" t="str">
        <x:v>PUBLIC_TENDER_THRESHOLD_GOODS</x:v>
      </x:c>
      <x:c r="B5" s="36" t="n">
        <x:v>4000000</x:v>
      </x:c>
      <x:c r="C5" s="30" t="str">
        <x:v>元</x:v>
      </x:c>
      <x:c r="D5" s="30" t="str">
        <x:v>采购方式</x:v>
      </x:c>
      <x:c r="E5" s="30" t="str">
        <x:v>货物类公开招标演示阈值；正式入库前由制度管理员确认。</x:v>
      </x:c>
    </x:row>
    <x:row r="6">
      <x:c r="A6" s="31" t="str">
        <x:v>CENTRALIZED_PURCHASE_THRESHOLD</x:v>
      </x:c>
      <x:c r="B6" s="37" t="n">
        <x:v>2000000</x:v>
      </x:c>
      <x:c r="C6" s="31" t="str">
        <x:v>元</x:v>
      </x:c>
      <x:c r="D6" s="31" t="str">
        <x:v>拆分采购</x:v>
      </x:c>
      <x:c r="E6" s="31" t="str">
        <x:v>集团集中采购演示阈值。</x:v>
      </x:c>
    </x:row>
    <x:row r="7">
      <x:c r="A7" s="31" t="str">
        <x:v>MIN_BIDDING_DAYS</x:v>
      </x:c>
      <x:c r="B7" s="37" t="n">
        <x:v>20</x:v>
      </x:c>
      <x:c r="C7" s="31" t="str">
        <x:v>天</x:v>
      </x:c>
      <x:c r="D7" s="31" t="str">
        <x:v>采购流程</x:v>
      </x:c>
      <x:c r="E7" s="31" t="str">
        <x:v>公开招标公告至投标截止的最短演示天数。</x:v>
      </x:c>
    </x:row>
    <x:row r="8">
      <x:c r="A8" s="31" t="str">
        <x:v>MAX_SUBMIT_INTERVAL_MINUTES</x:v>
      </x:c>
      <x:c r="B8" s="37" t="n">
        <x:v>10</x:v>
      </x:c>
      <x:c r="C8" s="31" t="str">
        <x:v>分钟</x:v>
      </x:c>
      <x:c r="D8" s="31" t="str">
        <x:v>虚假招标</x:v>
      </x:c>
      <x:c r="E8" s="31" t="str">
        <x:v>多家投标文件连续提交的异常时间窗。</x:v>
      </x:c>
    </x:row>
    <x:row r="9">
      <x:c r="A9" s="31" t="str">
        <x:v>MAX_BID_PRICE_DEVIATION_RATIO</x:v>
      </x:c>
      <x:c r="B9" s="53" t="n">
        <x:v>0.005</x:v>
      </x:c>
      <x:c r="C9" s="31" t="str">
        <x:v>比例</x:v>
      </x:c>
      <x:c r="D9" s="31" t="str">
        <x:v>围标串标</x:v>
      </x:c>
      <x:c r="E9" s="31" t="str">
        <x:v>最高与最低报价差/最低报价的异常阈值。</x:v>
      </x:c>
    </x:row>
    <x:row r="10">
      <x:c r="A10" s="31" t="str">
        <x:v>BID_DOCUMENT_SIMILARITY_THRESHOLD</x:v>
      </x:c>
      <x:c r="B10" s="53" t="n">
        <x:v>0.85</x:v>
      </x:c>
      <x:c r="C10" s="31" t="str">
        <x:v>比例</x:v>
      </x:c>
      <x:c r="D10" s="31" t="str">
        <x:v>虚假招标</x:v>
      </x:c>
      <x:c r="E10" s="31" t="str">
        <x:v>投标文件内容或模板相似度阈值。</x:v>
      </x:c>
    </x:row>
    <x:row r="11">
      <x:c r="A11" s="31" t="str">
        <x:v>SHELL_SUPPLIER_EMPLOYEE_MAX</x:v>
      </x:c>
      <x:c r="B11" s="37" t="n">
        <x:v>3</x:v>
      </x:c>
      <x:c r="C11" s="31" t="str">
        <x:v>人</x:v>
      </x:c>
      <x:c r="D11" s="31" t="str">
        <x:v>虚假招标</x:v>
      </x:c>
      <x:c r="E11" s="31" t="str">
        <x:v>疑似陪标壳企业员工人数上限。</x:v>
      </x:c>
    </x:row>
    <x:row r="12">
      <x:c r="A12" s="31" t="str">
        <x:v>CONTRACT_CHANGE_RATIO_THRESHOLD</x:v>
      </x:c>
      <x:c r="B12" s="53" t="n">
        <x:v>0.2</x:v>
      </x:c>
      <x:c r="C12" s="31" t="str">
        <x:v>比例</x:v>
      </x:c>
      <x:c r="D12" s="31" t="str">
        <x:v>合同变更</x:v>
      </x:c>
      <x:c r="E12" s="31" t="str">
        <x:v>中标后合同累计增幅阈值。</x:v>
      </x:c>
    </x:row>
    <x:row r="13">
      <x:c r="A13" s="31" t="str">
        <x:v>PRE_ACCEPTANCE_PAYMENT_RATIO</x:v>
      </x:c>
      <x:c r="B13" s="53" t="n">
        <x:v>0.8</x:v>
      </x:c>
      <x:c r="C13" s="31" t="str">
        <x:v>比例</x:v>
      </x:c>
      <x:c r="D13" s="31" t="str">
        <x:v>超前付款</x:v>
      </x:c>
      <x:c r="E13" s="31" t="str">
        <x:v>验收前累计支付比例阈值。</x:v>
      </x:c>
    </x:row>
    <x:row r="14">
      <x:c r="A14" s="31" t="str">
        <x:v>FUND_RETURN_RATIO</x:v>
      </x:c>
      <x:c r="B14" s="53" t="n">
        <x:v>0.8</x:v>
      </x:c>
      <x:c r="C14" s="31" t="str">
        <x:v>比例</x:v>
      </x:c>
      <x:c r="D14" s="31" t="str">
        <x:v>虚假贸易</x:v>
      </x:c>
      <x:c r="E14" s="31" t="str">
        <x:v>付款后短期流向采购方关联主体的比例阈值。</x:v>
      </x:c>
    </x:row>
    <x:row r="15">
      <x:c r="A15" s="31" t="str">
        <x:v>FUND_RETURN_DAYS</x:v>
      </x:c>
      <x:c r="B15" s="37" t="n">
        <x:v>3</x:v>
      </x:c>
      <x:c r="C15" s="31" t="str">
        <x:v>天</x:v>
      </x:c>
      <x:c r="D15" s="31" t="str">
        <x:v>虚假贸易</x:v>
      </x:c>
      <x:c r="E15" s="31" t="str">
        <x:v>资金回流观察窗口。</x:v>
      </x:c>
    </x:row>
    <x:row r="16">
      <x:c r="A16" s="31" t="str">
        <x:v>MAJOR_SCORE_BASE</x:v>
      </x:c>
      <x:c r="B16" s="37" t="n">
        <x:v>82</x:v>
      </x:c>
      <x:c r="C16" s="31" t="str">
        <x:v>分</x:v>
      </x:c>
      <x:c r="D16" s="31" t="str">
        <x:v>预警评分</x:v>
      </x:c>
      <x:c r="E16" s="31" t="str">
        <x:v>重大风险基础分。</x:v>
      </x:c>
    </x:row>
    <x:row r="17">
      <x:c r="A17" s="31" t="str">
        <x:v>HIGH_SCORE_BASE</x:v>
      </x:c>
      <x:c r="B17" s="37" t="n">
        <x:v>70</x:v>
      </x:c>
      <x:c r="C17" s="31" t="str">
        <x:v>分</x:v>
      </x:c>
      <x:c r="D17" s="31" t="str">
        <x:v>预警评分</x:v>
      </x:c>
      <x:c r="E17" s="31" t="str">
        <x:v>高风险基础分。</x:v>
      </x:c>
    </x:row>
    <x:row r="18">
      <x:c r="A18" s="31" t="str">
        <x:v>MEDIUM_SCORE_BASE</x:v>
      </x:c>
      <x:c r="B18" s="37" t="n">
        <x:v>55</x:v>
      </x:c>
      <x:c r="C18" s="31" t="str">
        <x:v>分</x:v>
      </x:c>
      <x:c r="D18" s="31" t="str">
        <x:v>预警评分</x:v>
      </x:c>
      <x:c r="E18" s="31" t="str">
        <x:v>中风险基础分。</x:v>
      </x:c>
    </x:row>
    <x:row r="19">
      <x:c r="A19" s="31" t="str">
        <x:v>HIT_RULE_BONUS</x:v>
      </x:c>
      <x:c r="B19" s="37" t="n">
        <x:v>4</x:v>
      </x:c>
      <x:c r="C19" s="31" t="str">
        <x:v>分/规则</x:v>
      </x:c>
      <x:c r="D19" s="31" t="str">
        <x:v>预警评分</x:v>
      </x:c>
      <x:c r="E19" s="31" t="str">
        <x:v>每条命中规则加分。</x:v>
      </x:c>
    </x:row>
    <x:row r="20">
      <x:c r="A20" s="31" t="str">
        <x:v>EVIDENCE_BONUS</x:v>
      </x:c>
      <x:c r="B20" s="37" t="n">
        <x:v>0.5</x:v>
      </x:c>
      <x:c r="C20" s="31" t="str">
        <x:v>分/证据</x:v>
      </x:c>
      <x:c r="D20" s="31" t="str">
        <x:v>预警评分</x:v>
      </x:c>
      <x:c r="E20" s="31" t="str">
        <x:v>每条有效证据加分。</x:v>
      </x:c>
    </x:row>
    <x:row r="21">
      <x:c r="A21" s="32" t="str">
        <x:v>MAX_RISK_SCORE</x:v>
      </x:c>
      <x:c r="B21" s="38" t="n">
        <x:v>100</x:v>
      </x:c>
      <x:c r="C21" s="32" t="str">
        <x:v>分</x:v>
      </x:c>
      <x:c r="D21" s="32" t="str">
        <x:v>预警评分</x:v>
      </x:c>
      <x:c r="E21" s="32" t="str">
        <x:v>风险评分上限。</x:v>
      </x:c>
    </x:row>
    <x:row r="22">
      <x:c r="A22" s="237" t="str">
        <x:v>LOW_MARGIN_RATE</x:v>
      </x:c>
      <x:c r="B22" s="238" t="n">
        <x:v>0.001</x:v>
      </x:c>
      <x:c r="C22" s="237" t="str">
        <x:v>比例</x:v>
      </x:c>
      <x:c r="D22" s="237" t="str">
        <x:v>模式201</x:v>
      </x:c>
      <x:c r="E22" s="237" t="str">
        <x:v>贸易超低毛利阈值0.1%。</x:v>
      </x:c>
    </x:row>
    <x:row r="23">
      <x:c r="A23" s="237" t="str">
        <x:v>SAME_GOODS_PRICE_DIFF_RATE</x:v>
      </x:c>
      <x:c r="B23" s="238" t="n">
        <x:v>0.0001</x:v>
      </x:c>
      <x:c r="C23" s="237" t="str">
        <x:v>比例</x:v>
      </x:c>
      <x:c r="D23" s="237" t="str">
        <x:v>模式202</x:v>
      </x:c>
      <x:c r="E23" s="237" t="str">
        <x:v>同货同量采销金额差阈值0.01%。</x:v>
      </x:c>
    </x:row>
    <x:row r="24">
      <x:c r="A24" s="237" t="str">
        <x:v>FINANCING_TRADE_PRICE_DIFF_RATE</x:v>
      </x:c>
      <x:c r="B24" s="238" t="n">
        <x:v>0.005</x:v>
      </x:c>
      <x:c r="C24" s="237" t="str">
        <x:v>比例</x:v>
      </x:c>
      <x:c r="D24" s="237" t="str">
        <x:v>模式203</x:v>
      </x:c>
      <x:c r="E24" s="237" t="str">
        <x:v>融资性贸易购销价差阈值0.5%。</x:v>
      </x:c>
    </x:row>
    <x:row r="25">
      <x:c r="A25" s="237" t="str">
        <x:v>FINANCING_TRADE_MIN_DAYS</x:v>
      </x:c>
      <x:c r="B25" s="242" t="n">
        <x:v>90</x:v>
      </x:c>
      <x:c r="C25" s="237" t="str">
        <x:v>天</x:v>
      </x:c>
      <x:c r="D25" s="237" t="str">
        <x:v>模式203</x:v>
      </x:c>
      <x:c r="E25" s="237" t="str">
        <x:v>融资性贸易长账期阈值。</x:v>
      </x:c>
    </x:row>
    <x:row r="26">
      <x:c r="A26" s="237" t="str">
        <x:v>PRICE_24H_CHANGE_RATE</x:v>
      </x:c>
      <x:c r="B26" s="238" t="n">
        <x:v>0.08</x:v>
      </x:c>
      <x:c r="C26" s="237" t="str">
        <x:v>比例</x:v>
      </x:c>
      <x:c r="D26" s="237" t="str">
        <x:v>模式204</x:v>
      </x:c>
      <x:c r="E26" s="237" t="str">
        <x:v>24小时价格突变阈值。</x:v>
      </x:c>
    </x:row>
    <x:row r="27">
      <x:c r="A27" s="237" t="str">
        <x:v>PAID_IN_CAPITAL_MIN</x:v>
      </x:c>
      <x:c r="B27" s="242" t="n">
        <x:v>10000000</x:v>
      </x:c>
      <x:c r="C27" s="237" t="str">
        <x:v>元</x:v>
      </x:c>
      <x:c r="D27" s="237" t="str">
        <x:v>模式301</x:v>
      </x:c>
      <x:c r="E27" s="237" t="str">
        <x:v>空壳资本判断的最低实缴资本。</x:v>
      </x:c>
    </x:row>
    <x:row r="28">
      <x:c r="A28" s="237" t="str">
        <x:v>SOCIAL_INSURANCE_MIN</x:v>
      </x:c>
      <x:c r="B28" s="242" t="n">
        <x:v>10</x:v>
      </x:c>
      <x:c r="C28" s="237" t="str">
        <x:v>人</x:v>
      </x:c>
      <x:c r="D28" s="237" t="str">
        <x:v>模式302</x:v>
      </x:c>
      <x:c r="E28" s="237" t="str">
        <x:v>近12个月平均参保人数阈值。</x:v>
      </x:c>
    </x:row>
    <x:row r="29">
      <x:c r="A29" s="237" t="str">
        <x:v>NEW_ENTERPRISE_DAYS</x:v>
      </x:c>
      <x:c r="B29" s="242" t="n">
        <x:v>180</x:v>
      </x:c>
      <x:c r="C29" s="237" t="str">
        <x:v>天</x:v>
      </x:c>
      <x:c r="D29" s="237" t="str">
        <x:v>模式303</x:v>
      </x:c>
      <x:c r="E29" s="237" t="str">
        <x:v>新成立企业识别窗口。</x:v>
      </x:c>
    </x:row>
    <x:row r="30">
      <x:c r="A30" s="237" t="str">
        <x:v>PLEDGE_RATIO</x:v>
      </x:c>
      <x:c r="B30" s="238" t="n">
        <x:v>0.8</x:v>
      </x:c>
      <x:c r="C30" s="237" t="str">
        <x:v>比例</x:v>
      </x:c>
      <x:c r="D30" s="237" t="str">
        <x:v>模式308</x:v>
      </x:c>
      <x:c r="E30" s="237" t="str">
        <x:v>高比例股权质押阈值。</x:v>
      </x:c>
    </x:row>
    <x:row r="31">
      <x:c r="A31" s="237" t="str">
        <x:v>LITIGATION_COUNT_12M</x:v>
      </x:c>
      <x:c r="B31" s="242" t="n">
        <x:v>5</x:v>
      </x:c>
      <x:c r="C31" s="237" t="str">
        <x:v>起</x:v>
      </x:c>
      <x:c r="D31" s="237" t="str">
        <x:v>模式309</x:v>
      </x:c>
      <x:c r="E31" s="237" t="str">
        <x:v>近12个月买卖合同纠纷被告次数阈值。</x:v>
      </x:c>
    </x:row>
    <x:row r="32">
      <x:c r="A32" s="237" t="str">
        <x:v>HISTORICAL_OVERDUE_DAYS</x:v>
      </x:c>
      <x:c r="B32" s="242" t="n">
        <x:v>30</x:v>
      </x:c>
      <x:c r="C32" s="237" t="str">
        <x:v>天</x:v>
      </x:c>
      <x:c r="D32" s="237" t="str">
        <x:v>模式312</x:v>
      </x:c>
      <x:c r="E32" s="237" t="str">
        <x:v>历史长期逾期阈值。</x:v>
      </x:c>
    </x:row>
    <x:row r="33">
      <x:c r="A33" s="237" t="str">
        <x:v>BIDIRECTIONAL_PAYMENT_WINDOW_DAYS</x:v>
      </x:c>
      <x:c r="B33" s="242" t="n">
        <x:v>15</x:v>
      </x:c>
      <x:c r="C33" s="237" t="str">
        <x:v>天</x:v>
      </x:c>
      <x:c r="D33" s="237" t="str">
        <x:v>模式501</x:v>
      </x:c>
      <x:c r="E33" s="237" t="str">
        <x:v>客商双向收付款观察窗口。</x:v>
      </x:c>
    </x:row>
    <x:row r="34">
      <x:c r="A34" s="237" t="str">
        <x:v>ADVANCE_PAYMENT_DAYS</x:v>
      </x:c>
      <x:c r="B34" s="242" t="n">
        <x:v>90</x:v>
      </x:c>
      <x:c r="C34" s="237" t="str">
        <x:v>天</x:v>
      </x:c>
      <x:c r="D34" s="237" t="str">
        <x:v>模式603</x:v>
      </x:c>
      <x:c r="E34" s="237" t="str">
        <x:v>实际收付款较合同约定前置阈值。</x:v>
      </x:c>
    </x:row>
    <x:row r="35">
      <x:c r="A35" s="237" t="str">
        <x:v>HIGH_PREPAY_RATIO</x:v>
      </x:c>
      <x:c r="B35" s="238" t="n">
        <x:v>0.8</x:v>
      </x:c>
      <x:c r="C35" s="237" t="str">
        <x:v>比例</x:v>
      </x:c>
      <x:c r="D35" s="237" t="str">
        <x:v>模式604</x:v>
      </x:c>
      <x:c r="E35" s="237" t="str">
        <x:v>高预付款比例阈值。</x:v>
      </x:c>
    </x:row>
    <x:row r="36">
      <x:c r="A36" s="237" t="str">
        <x:v>HIGH_DEBT_RATIO</x:v>
      </x:c>
      <x:c r="B36" s="238" t="n">
        <x:v>0.85</x:v>
      </x:c>
      <x:c r="C36" s="237" t="str">
        <x:v>比例</x:v>
      </x:c>
      <x:c r="D36" s="237" t="str">
        <x:v>模式604</x:v>
      </x:c>
      <x:c r="E36" s="237" t="str">
        <x:v>交易对手高资产负债率阈值。</x:v>
      </x:c>
    </x:row>
    <x:row r="37">
      <x:c r="A37" s="237" t="str">
        <x:v>SAME_DAY_RETURN_DIFF_RATIO</x:v>
      </x:c>
      <x:c r="B37" s="238" t="n">
        <x:v>0.05</x:v>
      </x:c>
      <x:c r="C37" s="237" t="str">
        <x:v>比例</x:v>
      </x:c>
      <x:c r="D37" s="237" t="str">
        <x:v>模式606</x:v>
      </x:c>
      <x:c r="E37" s="237" t="str">
        <x:v>同日资金回流金额差阈值。</x:v>
      </x:c>
    </x:row>
    <x:row r="38">
      <x:c r="A38" s="237" t="str">
        <x:v>HISTORICAL_PRICE_CHANGE_RATIO</x:v>
      </x:c>
      <x:c r="B38" s="238" t="n">
        <x:v>0.2</x:v>
      </x:c>
      <x:c r="C38" s="237" t="str">
        <x:v>比例</x:v>
      </x:c>
      <x:c r="D38" s="237" t="str">
        <x:v>模式A01</x:v>
      </x:c>
      <x:c r="E38" s="237" t="str">
        <x:v>纵向历史价格波动阈值。</x:v>
      </x:c>
    </x:row>
    <x:row r="39">
      <x:c r="A39" s="237" t="str">
        <x:v>CROSS_SUPPLIER_PRICE_DIFF_RATIO</x:v>
      </x:c>
      <x:c r="B39" s="238" t="n">
        <x:v>0.2</x:v>
      </x:c>
      <x:c r="C39" s="237" t="str">
        <x:v>比例</x:v>
      </x:c>
      <x:c r="D39" s="237" t="str">
        <x:v>模式A02</x:v>
      </x:c>
      <x:c r="E39" s="237" t="str">
        <x:v>横向同业价格差阈值。</x:v>
      </x:c>
    </x:row>
    <x:row r="40">
      <x:c r="A40" s="237" t="str">
        <x:v>GROUP_BID_MIN_COUNT</x:v>
      </x:c>
      <x:c r="B40" s="242" t="n">
        <x:v>3</x:v>
      </x:c>
      <x:c r="C40" s="237" t="str">
        <x:v>次</x:v>
      </x:c>
      <x:c r="D40" s="237" t="str">
        <x:v>模式B03</x:v>
      </x:c>
      <x:c r="E40" s="237" t="str">
        <x:v>1年内共同投标次数阈值。</x:v>
      </x:c>
    </x:row>
  </x:sheetData>
  <x:mergeCells>
    <x:mergeCell ref="A1:E1"/>
    <x:mergeCell ref="A2:E2"/>
  </x:mergeCells>
  <x:pageMargins left="0.7" right="0.7" top="0.75" bottom="0.75" header="0.3" footer="0.3"/>
  <x:tableParts count="1">
    <x:tablePart xmlns:r="http://schemas.openxmlformats.org/officeDocument/2006/relationships" r:id="R46099015f9e046a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2" hidden="0" customWidth="1"/>
    <x:col min="4" max="4" width="35" hidden="0" customWidth="1"/>
    <x:col min="5" max="5" width="20" hidden="0" customWidth="1"/>
    <x:col min="6" max="6" width="25" hidden="0" customWidth="1"/>
    <x:col min="7" max="7" width="25" hidden="0" customWidth="1"/>
    <x:col min="8" max="8" width="24" hidden="0" customWidth="1"/>
    <x:col min="9" max="9" width="24" hidden="0" customWidth="1"/>
    <x:col min="10" max="10" width="42" hidden="0" customWidth="1"/>
  </x:cols>
  <x:sheetData>
    <x:row r="1" ht="34" customHeight="1">
      <x:c r="A1" s="4" t="str">
        <x:v>采购与供应链监管演示本体 ONT-PROC-DEMO</x:v>
      </x:c>
      <x:c r="B1" s="4"/>
      <x:c r="C1" s="4"/>
      <x:c r="D1" s="4"/>
      <x:c r="E1" s="4"/>
      <x:c r="F1" s="4"/>
      <x:c r="G1" s="4"/>
      <x:c r="H1" s="4"/>
      <x:c r="I1" s="4"/>
      <x:c r="J1" s="4"/>
    </x:row>
    <x:row r="2" ht="32" customHeight="1">
      <x:c r="A2" s="8" t="str">
        <x:v>拟作为独立演示本体版本 v1.0；元素结构匹配现有 ontologies / ontology_elements 表，覆盖采购、招投标、合同、履约、发票、付款和资金回流。</x:v>
      </x:c>
      <x:c r="B2" s="8"/>
      <x:c r="C2" s="8"/>
      <x:c r="D2" s="8"/>
      <x:c r="E2" s="8"/>
      <x:c r="F2" s="8"/>
      <x:c r="G2" s="8"/>
      <x:c r="H2" s="8"/>
      <x:c r="I2" s="8"/>
      <x:c r="J2" s="8"/>
    </x:row>
    <x:row r="4" ht="32" customHeight="1">
      <x:c r="A4" s="50" t="str">
        <x:v>元素ID</x:v>
      </x:c>
      <x:c r="B4" s="51" t="str">
        <x:v>本体ID</x:v>
      </x:c>
      <x:c r="C4" s="51" t="str">
        <x:v>元素类型</x:v>
      </x:c>
      <x:c r="D4" s="51" t="str">
        <x:v>元素编码</x:v>
      </x:c>
      <x:c r="E4" s="51" t="str">
        <x:v>元素名称</x:v>
      </x:c>
      <x:c r="F4" s="51" t="str">
        <x:v>起点/归属类</x:v>
      </x:c>
      <x:c r="G4" s="51" t="str">
        <x:v>终点类</x:v>
      </x:c>
      <x:c r="H4" s="51" t="str">
        <x:v>数据类型</x:v>
      </x:c>
      <x:c r="I4" s="51" t="str">
        <x:v>约束</x:v>
      </x:c>
      <x:c r="J4" s="52" t="str">
        <x:v>说明</x:v>
      </x:c>
    </x:row>
    <x:row r="5">
      <x:c r="A5" s="30" t="str">
        <x:v>EL-DEMO-001</x:v>
      </x:c>
      <x:c r="B5" s="30" t="str">
        <x:v>ONT-PROC-DEMO</x:v>
      </x:c>
      <x:c r="C5" s="30" t="str">
        <x:v>class</x:v>
      </x:c>
      <x:c r="D5" s="30" t="str">
        <x:v>PROC.Organization</x:v>
      </x:c>
      <x:c r="E5" s="30" t="str">
        <x:v>组织机构</x:v>
      </x:c>
      <x:c r="F5" s="30" t="str"/>
      <x:c r="G5" s="30" t="str"/>
      <x:c r="H5" s="30" t="str">
        <x:v>本体类</x:v>
      </x:c>
      <x:c r="I5" s="30" t="str">
        <x:v>主标识见属性定义</x:v>
      </x:c>
      <x:c r="J5" s="30" t="str">
        <x:v>采购、财务、仓储等业务组织。</x:v>
      </x:c>
    </x:row>
    <x:row r="6">
      <x:c r="A6" s="31" t="str">
        <x:v>EL-DEMO-002</x:v>
      </x:c>
      <x:c r="B6" s="31" t="str">
        <x:v>ONT-PROC-DEMO</x:v>
      </x:c>
      <x:c r="C6" s="31" t="str">
        <x:v>class</x:v>
      </x:c>
      <x:c r="D6" s="31" t="str">
        <x:v>PROC.Department</x:v>
      </x:c>
      <x:c r="E6" s="31" t="str">
        <x:v>部门</x:v>
      </x:c>
      <x:c r="F6" s="31" t="str"/>
      <x:c r="G6" s="31" t="str"/>
      <x:c r="H6" s="31" t="str">
        <x:v>本体类</x:v>
      </x:c>
      <x:c r="I6" s="31" t="str">
        <x:v>主标识见属性定义</x:v>
      </x:c>
      <x:c r="J6" s="31" t="str">
        <x:v>组织内部部门。</x:v>
      </x:c>
    </x:row>
    <x:row r="7">
      <x:c r="A7" s="31" t="str">
        <x:v>EL-DEMO-003</x:v>
      </x:c>
      <x:c r="B7" s="31" t="str">
        <x:v>ONT-PROC-DEMO</x:v>
      </x:c>
      <x:c r="C7" s="31" t="str">
        <x:v>class</x:v>
      </x:c>
      <x:c r="D7" s="31" t="str">
        <x:v>PROC.Person</x:v>
      </x:c>
      <x:c r="E7" s="31" t="str">
        <x:v>人员</x:v>
      </x:c>
      <x:c r="F7" s="31" t="str"/>
      <x:c r="G7" s="31" t="str"/>
      <x:c r="H7" s="31" t="str">
        <x:v>本体类</x:v>
      </x:c>
      <x:c r="I7" s="31" t="str">
        <x:v>主标识见属性定义</x:v>
      </x:c>
      <x:c r="J7" s="31" t="str">
        <x:v>内部人员、评审人员、供应商人员或实际控制人。</x:v>
      </x:c>
    </x:row>
    <x:row r="8">
      <x:c r="A8" s="31" t="str">
        <x:v>EL-DEMO-004</x:v>
      </x:c>
      <x:c r="B8" s="31" t="str">
        <x:v>ONT-PROC-DEMO</x:v>
      </x:c>
      <x:c r="C8" s="31" t="str">
        <x:v>class</x:v>
      </x:c>
      <x:c r="D8" s="31" t="str">
        <x:v>PROC.Supplier</x:v>
      </x:c>
      <x:c r="E8" s="31" t="str">
        <x:v>供应商</x:v>
      </x:c>
      <x:c r="F8" s="31" t="str"/>
      <x:c r="G8" s="31" t="str"/>
      <x:c r="H8" s="31" t="str">
        <x:v>本体类</x:v>
      </x:c>
      <x:c r="I8" s="31" t="str">
        <x:v>主标识见属性定义</x:v>
      </x:c>
      <x:c r="J8" s="31" t="str">
        <x:v>参与采购、合同或履约活动的外部主体。</x:v>
      </x:c>
    </x:row>
    <x:row r="9">
      <x:c r="A9" s="31" t="str">
        <x:v>EL-DEMO-005</x:v>
      </x:c>
      <x:c r="B9" s="31" t="str">
        <x:v>ONT-PROC-DEMO</x:v>
      </x:c>
      <x:c r="C9" s="31" t="str">
        <x:v>class</x:v>
      </x:c>
      <x:c r="D9" s="31" t="str">
        <x:v>PROC.ProcurementDemand</x:v>
      </x:c>
      <x:c r="E9" s="31" t="str">
        <x:v>采购需求</x:v>
      </x:c>
      <x:c r="F9" s="31" t="str"/>
      <x:c r="G9" s="31" t="str"/>
      <x:c r="H9" s="31" t="str">
        <x:v>本体类</x:v>
      </x:c>
      <x:c r="I9" s="31" t="str">
        <x:v>主标识见属性定义</x:v>
      </x:c>
      <x:c r="J9" s="31" t="str">
        <x:v>采购活动的原始业务需求。</x:v>
      </x:c>
    </x:row>
    <x:row r="10">
      <x:c r="A10" s="31" t="str">
        <x:v>EL-DEMO-006</x:v>
      </x:c>
      <x:c r="B10" s="31" t="str">
        <x:v>ONT-PROC-DEMO</x:v>
      </x:c>
      <x:c r="C10" s="31" t="str">
        <x:v>class</x:v>
      </x:c>
      <x:c r="D10" s="31" t="str">
        <x:v>PROC.ProcurementPlan</x:v>
      </x:c>
      <x:c r="E10" s="31" t="str">
        <x:v>采购方案</x:v>
      </x:c>
      <x:c r="F10" s="31" t="str"/>
      <x:c r="G10" s="31" t="str"/>
      <x:c r="H10" s="31" t="str">
        <x:v>本体类</x:v>
      </x:c>
      <x:c r="I10" s="31" t="str">
        <x:v>主标识见属性定义</x:v>
      </x:c>
      <x:c r="J10" s="31" t="str">
        <x:v>采购方式、预算和实施安排。</x:v>
      </x:c>
    </x:row>
    <x:row r="11">
      <x:c r="A11" s="31" t="str">
        <x:v>EL-DEMO-007</x:v>
      </x:c>
      <x:c r="B11" s="31" t="str">
        <x:v>ONT-PROC-DEMO</x:v>
      </x:c>
      <x:c r="C11" s="31" t="str">
        <x:v>class</x:v>
      </x:c>
      <x:c r="D11" s="31" t="str">
        <x:v>PROC.BudgetApproval</x:v>
      </x:c>
      <x:c r="E11" s="31" t="str">
        <x:v>预算批复</x:v>
      </x:c>
      <x:c r="F11" s="31" t="str"/>
      <x:c r="G11" s="31" t="str"/>
      <x:c r="H11" s="31" t="str">
        <x:v>本体类</x:v>
      </x:c>
      <x:c r="I11" s="31" t="str">
        <x:v>主标识见属性定义</x:v>
      </x:c>
      <x:c r="J11" s="31" t="str">
        <x:v>预算额度及审批状态。</x:v>
      </x:c>
    </x:row>
    <x:row r="12">
      <x:c r="A12" s="31" t="str">
        <x:v>EL-DEMO-008</x:v>
      </x:c>
      <x:c r="B12" s="31" t="str">
        <x:v>ONT-PROC-DEMO</x:v>
      </x:c>
      <x:c r="C12" s="31" t="str">
        <x:v>class</x:v>
      </x:c>
      <x:c r="D12" s="31" t="str">
        <x:v>PROC.PurchaseProject</x:v>
      </x:c>
      <x:c r="E12" s="31" t="str">
        <x:v>采购项目</x:v>
      </x:c>
      <x:c r="F12" s="31" t="str"/>
      <x:c r="G12" s="31" t="str"/>
      <x:c r="H12" s="31" t="str">
        <x:v>本体类</x:v>
      </x:c>
      <x:c r="I12" s="31" t="str">
        <x:v>主标识见属性定义</x:v>
      </x:c>
      <x:c r="J12" s="31" t="str">
        <x:v>采购执行主对象。</x:v>
      </x:c>
    </x:row>
    <x:row r="13">
      <x:c r="A13" s="31" t="str">
        <x:v>EL-DEMO-009</x:v>
      </x:c>
      <x:c r="B13" s="31" t="str">
        <x:v>ONT-PROC-DEMO</x:v>
      </x:c>
      <x:c r="C13" s="31" t="str">
        <x:v>class</x:v>
      </x:c>
      <x:c r="D13" s="31" t="str">
        <x:v>PROC.TenderAnnouncement</x:v>
      </x:c>
      <x:c r="E13" s="31" t="str">
        <x:v>招标公告</x:v>
      </x:c>
      <x:c r="F13" s="31" t="str"/>
      <x:c r="G13" s="31" t="str"/>
      <x:c r="H13" s="31" t="str">
        <x:v>本体类</x:v>
      </x:c>
      <x:c r="I13" s="31" t="str">
        <x:v>主标识见属性定义</x:v>
      </x:c>
      <x:c r="J13" s="31" t="str">
        <x:v>公告发布时间和投标截止时间。</x:v>
      </x:c>
    </x:row>
    <x:row r="14">
      <x:c r="A14" s="31" t="str">
        <x:v>EL-DEMO-010</x:v>
      </x:c>
      <x:c r="B14" s="31" t="str">
        <x:v>ONT-PROC-DEMO</x:v>
      </x:c>
      <x:c r="C14" s="31" t="str">
        <x:v>class</x:v>
      </x:c>
      <x:c r="D14" s="31" t="str">
        <x:v>PROC.Bid</x:v>
      </x:c>
      <x:c r="E14" s="31" t="str">
        <x:v>投标</x:v>
      </x:c>
      <x:c r="F14" s="31" t="str"/>
      <x:c r="G14" s="31" t="str"/>
      <x:c r="H14" s="31" t="str">
        <x:v>本体类</x:v>
      </x:c>
      <x:c r="I14" s="31" t="str">
        <x:v>主标识见属性定义</x:v>
      </x:c>
      <x:c r="J14" s="31" t="str">
        <x:v>供应商对采购项目提交的报价与响应。</x:v>
      </x:c>
    </x:row>
    <x:row r="15">
      <x:c r="A15" s="31" t="str">
        <x:v>EL-DEMO-011</x:v>
      </x:c>
      <x:c r="B15" s="31" t="str">
        <x:v>ONT-PROC-DEMO</x:v>
      </x:c>
      <x:c r="C15" s="31" t="str">
        <x:v>class</x:v>
      </x:c>
      <x:c r="D15" s="31" t="str">
        <x:v>PROC.BidDocument</x:v>
      </x:c>
      <x:c r="E15" s="31" t="str">
        <x:v>投标文件</x:v>
      </x:c>
      <x:c r="F15" s="31" t="str"/>
      <x:c r="G15" s="31" t="str"/>
      <x:c r="H15" s="31" t="str">
        <x:v>本体类</x:v>
      </x:c>
      <x:c r="I15" s="31" t="str">
        <x:v>主标识见属性定义</x:v>
      </x:c>
      <x:c r="J15" s="31" t="str">
        <x:v>投标文件及其电子特征。</x:v>
      </x:c>
    </x:row>
    <x:row r="16">
      <x:c r="A16" s="31" t="str">
        <x:v>EL-DEMO-012</x:v>
      </x:c>
      <x:c r="B16" s="31" t="str">
        <x:v>ONT-PROC-DEMO</x:v>
      </x:c>
      <x:c r="C16" s="31" t="str">
        <x:v>class</x:v>
      </x:c>
      <x:c r="D16" s="31" t="str">
        <x:v>PROC.ReviewPanel</x:v>
      </x:c>
      <x:c r="E16" s="31" t="str">
        <x:v>评审委员会</x:v>
      </x:c>
      <x:c r="F16" s="31" t="str"/>
      <x:c r="G16" s="31" t="str"/>
      <x:c r="H16" s="31" t="str">
        <x:v>本体类</x:v>
      </x:c>
      <x:c r="I16" s="31" t="str">
        <x:v>主标识见属性定义</x:v>
      </x:c>
      <x:c r="J16" s="31" t="str">
        <x:v>承担评标或评审的组织。</x:v>
      </x:c>
    </x:row>
    <x:row r="17">
      <x:c r="A17" s="31" t="str">
        <x:v>EL-DEMO-013</x:v>
      </x:c>
      <x:c r="B17" s="31" t="str">
        <x:v>ONT-PROC-DEMO</x:v>
      </x:c>
      <x:c r="C17" s="31" t="str">
        <x:v>class</x:v>
      </x:c>
      <x:c r="D17" s="31" t="str">
        <x:v>PROC.Award</x:v>
      </x:c>
      <x:c r="E17" s="31" t="str">
        <x:v>中标结果</x:v>
      </x:c>
      <x:c r="F17" s="31" t="str"/>
      <x:c r="G17" s="31" t="str"/>
      <x:c r="H17" s="31" t="str">
        <x:v>本体类</x:v>
      </x:c>
      <x:c r="I17" s="31" t="str">
        <x:v>主标识见属性定义</x:v>
      </x:c>
      <x:c r="J17" s="31" t="str">
        <x:v>中标确认结果。</x:v>
      </x:c>
    </x:row>
    <x:row r="18">
      <x:c r="A18" s="31" t="str">
        <x:v>EL-DEMO-014</x:v>
      </x:c>
      <x:c r="B18" s="31" t="str">
        <x:v>ONT-PROC-DEMO</x:v>
      </x:c>
      <x:c r="C18" s="31" t="str">
        <x:v>class</x:v>
      </x:c>
      <x:c r="D18" s="31" t="str">
        <x:v>PROC.Contract</x:v>
      </x:c>
      <x:c r="E18" s="31" t="str">
        <x:v>合同</x:v>
      </x:c>
      <x:c r="F18" s="31" t="str"/>
      <x:c r="G18" s="31" t="str"/>
      <x:c r="H18" s="31" t="str">
        <x:v>本体类</x:v>
      </x:c>
      <x:c r="I18" s="31" t="str">
        <x:v>主标识见属性定义</x:v>
      </x:c>
      <x:c r="J18" s="31" t="str">
        <x:v>采购合同及关键条款。</x:v>
      </x:c>
    </x:row>
    <x:row r="19">
      <x:c r="A19" s="31" t="str">
        <x:v>EL-DEMO-015</x:v>
      </x:c>
      <x:c r="B19" s="31" t="str">
        <x:v>ONT-PROC-DEMO</x:v>
      </x:c>
      <x:c r="C19" s="31" t="str">
        <x:v>class</x:v>
      </x:c>
      <x:c r="D19" s="31" t="str">
        <x:v>PROC.ContractChange</x:v>
      </x:c>
      <x:c r="E19" s="31" t="str">
        <x:v>合同变更</x:v>
      </x:c>
      <x:c r="F19" s="31" t="str"/>
      <x:c r="G19" s="31" t="str"/>
      <x:c r="H19" s="31" t="str">
        <x:v>本体类</x:v>
      </x:c>
      <x:c r="I19" s="31" t="str">
        <x:v>主标识见属性定义</x:v>
      </x:c>
      <x:c r="J19" s="31" t="str">
        <x:v>合同金额、范围或条款的变更。</x:v>
      </x:c>
    </x:row>
    <x:row r="20">
      <x:c r="A20" s="31" t="str">
        <x:v>EL-DEMO-016</x:v>
      </x:c>
      <x:c r="B20" s="31" t="str">
        <x:v>ONT-PROC-DEMO</x:v>
      </x:c>
      <x:c r="C20" s="31" t="str">
        <x:v>class</x:v>
      </x:c>
      <x:c r="D20" s="31" t="str">
        <x:v>PROC.PurchaseOrder</x:v>
      </x:c>
      <x:c r="E20" s="31" t="str">
        <x:v>采购订单</x:v>
      </x:c>
      <x:c r="F20" s="31" t="str"/>
      <x:c r="G20" s="31" t="str"/>
      <x:c r="H20" s="31" t="str">
        <x:v>本体类</x:v>
      </x:c>
      <x:c r="I20" s="31" t="str">
        <x:v>主标识见属性定义</x:v>
      </x:c>
      <x:c r="J20" s="31" t="str">
        <x:v>合同下达的采购订单。</x:v>
      </x:c>
    </x:row>
    <x:row r="21">
      <x:c r="A21" s="31" t="str">
        <x:v>EL-DEMO-017</x:v>
      </x:c>
      <x:c r="B21" s="31" t="str">
        <x:v>ONT-PROC-DEMO</x:v>
      </x:c>
      <x:c r="C21" s="31" t="str">
        <x:v>class</x:v>
      </x:c>
      <x:c r="D21" s="31" t="str">
        <x:v>PROC.LogisticsRecord</x:v>
      </x:c>
      <x:c r="E21" s="31" t="str">
        <x:v>物流记录</x:v>
      </x:c>
      <x:c r="F21" s="31" t="str"/>
      <x:c r="G21" s="31" t="str"/>
      <x:c r="H21" s="31" t="str">
        <x:v>本体类</x:v>
      </x:c>
      <x:c r="I21" s="31" t="str">
        <x:v>主标识见属性定义</x:v>
      </x:c>
      <x:c r="J21" s="31" t="str">
        <x:v>发运、车辆、轨迹及货物信息。</x:v>
      </x:c>
    </x:row>
    <x:row r="22">
      <x:c r="A22" s="31" t="str">
        <x:v>EL-DEMO-018</x:v>
      </x:c>
      <x:c r="B22" s="31" t="str">
        <x:v>ONT-PROC-DEMO</x:v>
      </x:c>
      <x:c r="C22" s="31" t="str">
        <x:v>class</x:v>
      </x:c>
      <x:c r="D22" s="31" t="str">
        <x:v>PROC.GoodsReceipt</x:v>
      </x:c>
      <x:c r="E22" s="31" t="str">
        <x:v>收货记录</x:v>
      </x:c>
      <x:c r="F22" s="31" t="str"/>
      <x:c r="G22" s="31" t="str"/>
      <x:c r="H22" s="31" t="str">
        <x:v>本体类</x:v>
      </x:c>
      <x:c r="I22" s="31" t="str">
        <x:v>主标识见属性定义</x:v>
      </x:c>
      <x:c r="J22" s="31" t="str">
        <x:v>到货与入库记录。</x:v>
      </x:c>
    </x:row>
    <x:row r="23">
      <x:c r="A23" s="31" t="str">
        <x:v>EL-DEMO-019</x:v>
      </x:c>
      <x:c r="B23" s="31" t="str">
        <x:v>ONT-PROC-DEMO</x:v>
      </x:c>
      <x:c r="C23" s="31" t="str">
        <x:v>class</x:v>
      </x:c>
      <x:c r="D23" s="31" t="str">
        <x:v>PROC.InspectionRecord</x:v>
      </x:c>
      <x:c r="E23" s="31" t="str">
        <x:v>验收记录</x:v>
      </x:c>
      <x:c r="F23" s="31" t="str"/>
      <x:c r="G23" s="31" t="str"/>
      <x:c r="H23" s="31" t="str">
        <x:v>本体类</x:v>
      </x:c>
      <x:c r="I23" s="31" t="str">
        <x:v>主标识见属性定义</x:v>
      </x:c>
      <x:c r="J23" s="31" t="str">
        <x:v>质量、数量与验收结论。</x:v>
      </x:c>
    </x:row>
    <x:row r="24">
      <x:c r="A24" s="31" t="str">
        <x:v>EL-DEMO-020</x:v>
      </x:c>
      <x:c r="B24" s="31" t="str">
        <x:v>ONT-PROC-DEMO</x:v>
      </x:c>
      <x:c r="C24" s="31" t="str">
        <x:v>class</x:v>
      </x:c>
      <x:c r="D24" s="31" t="str">
        <x:v>PROC.Warehouse</x:v>
      </x:c>
      <x:c r="E24" s="31" t="str">
        <x:v>仓库</x:v>
      </x:c>
      <x:c r="F24" s="31" t="str"/>
      <x:c r="G24" s="31" t="str"/>
      <x:c r="H24" s="31" t="str">
        <x:v>本体类</x:v>
      </x:c>
      <x:c r="I24" s="31" t="str">
        <x:v>主标识见属性定义</x:v>
      </x:c>
      <x:c r="J24" s="31" t="str">
        <x:v>收货和库存地点。</x:v>
      </x:c>
    </x:row>
    <x:row r="25">
      <x:c r="A25" s="31" t="str">
        <x:v>EL-DEMO-021</x:v>
      </x:c>
      <x:c r="B25" s="31" t="str">
        <x:v>ONT-PROC-DEMO</x:v>
      </x:c>
      <x:c r="C25" s="31" t="str">
        <x:v>class</x:v>
      </x:c>
      <x:c r="D25" s="31" t="str">
        <x:v>PROC.Invoice</x:v>
      </x:c>
      <x:c r="E25" s="31" t="str">
        <x:v>发票</x:v>
      </x:c>
      <x:c r="F25" s="31" t="str"/>
      <x:c r="G25" s="31" t="str"/>
      <x:c r="H25" s="31" t="str">
        <x:v>本体类</x:v>
      </x:c>
      <x:c r="I25" s="31" t="str">
        <x:v>主标识见属性定义</x:v>
      </x:c>
      <x:c r="J25" s="31" t="str">
        <x:v>合同或订单对应的发票。</x:v>
      </x:c>
    </x:row>
    <x:row r="26">
      <x:c r="A26" s="31" t="str">
        <x:v>EL-DEMO-022</x:v>
      </x:c>
      <x:c r="B26" s="31" t="str">
        <x:v>ONT-PROC-DEMO</x:v>
      </x:c>
      <x:c r="C26" s="31" t="str">
        <x:v>class</x:v>
      </x:c>
      <x:c r="D26" s="31" t="str">
        <x:v>PROC.Payment</x:v>
      </x:c>
      <x:c r="E26" s="31" t="str">
        <x:v>付款</x:v>
      </x:c>
      <x:c r="F26" s="31" t="str"/>
      <x:c r="G26" s="31" t="str"/>
      <x:c r="H26" s="31" t="str">
        <x:v>本体类</x:v>
      </x:c>
      <x:c r="I26" s="31" t="str">
        <x:v>主标识见属性定义</x:v>
      </x:c>
      <x:c r="J26" s="31" t="str">
        <x:v>资金支付记录。</x:v>
      </x:c>
    </x:row>
    <x:row r="27">
      <x:c r="A27" s="31" t="str">
        <x:v>EL-DEMO-023</x:v>
      </x:c>
      <x:c r="B27" s="31" t="str">
        <x:v>ONT-PROC-DEMO</x:v>
      </x:c>
      <x:c r="C27" s="31" t="str">
        <x:v>class</x:v>
      </x:c>
      <x:c r="D27" s="31" t="str">
        <x:v>PROC.BankAccount</x:v>
      </x:c>
      <x:c r="E27" s="31" t="str">
        <x:v>银行账户</x:v>
      </x:c>
      <x:c r="F27" s="31" t="str"/>
      <x:c r="G27" s="31" t="str"/>
      <x:c r="H27" s="31" t="str">
        <x:v>本体类</x:v>
      </x:c>
      <x:c r="I27" s="31" t="str">
        <x:v>主标识见属性定义</x:v>
      </x:c>
      <x:c r="J27" s="31" t="str">
        <x:v>付款或收款账户。</x:v>
      </x:c>
    </x:row>
    <x:row r="28">
      <x:c r="A28" s="31" t="str">
        <x:v>EL-DEMO-024</x:v>
      </x:c>
      <x:c r="B28" s="31" t="str">
        <x:v>ONT-PROC-DEMO</x:v>
      </x:c>
      <x:c r="C28" s="31" t="str">
        <x:v>class</x:v>
      </x:c>
      <x:c r="D28" s="31" t="str">
        <x:v>PROC.Contact</x:v>
      </x:c>
      <x:c r="E28" s="31" t="str">
        <x:v>联系方式</x:v>
      </x:c>
      <x:c r="F28" s="31" t="str"/>
      <x:c r="G28" s="31" t="str"/>
      <x:c r="H28" s="31" t="str">
        <x:v>本体类</x:v>
      </x:c>
      <x:c r="I28" s="31" t="str">
        <x:v>主标识见属性定义</x:v>
      </x:c>
      <x:c r="J28" s="31" t="str">
        <x:v>电话、邮箱等联系信息。</x:v>
      </x:c>
    </x:row>
    <x:row r="29">
      <x:c r="A29" s="31" t="str">
        <x:v>EL-DEMO-025</x:v>
      </x:c>
      <x:c r="B29" s="31" t="str">
        <x:v>ONT-PROC-DEMO</x:v>
      </x:c>
      <x:c r="C29" s="31" t="str">
        <x:v>class</x:v>
      </x:c>
      <x:c r="D29" s="31" t="str">
        <x:v>PROC.Address</x:v>
      </x:c>
      <x:c r="E29" s="31" t="str">
        <x:v>地址</x:v>
      </x:c>
      <x:c r="F29" s="31" t="str"/>
      <x:c r="G29" s="31" t="str"/>
      <x:c r="H29" s="31" t="str">
        <x:v>本体类</x:v>
      </x:c>
      <x:c r="I29" s="31" t="str">
        <x:v>主标识见属性定义</x:v>
      </x:c>
      <x:c r="J29" s="31" t="str">
        <x:v>工商、办公或收货地址。</x:v>
      </x:c>
    </x:row>
    <x:row r="30">
      <x:c r="A30" s="31" t="str">
        <x:v>EL-DEMO-026</x:v>
      </x:c>
      <x:c r="B30" s="31" t="str">
        <x:v>ONT-PROC-DEMO</x:v>
      </x:c>
      <x:c r="C30" s="31" t="str">
        <x:v>class</x:v>
      </x:c>
      <x:c r="D30" s="31" t="str">
        <x:v>PROC.IPAddress</x:v>
      </x:c>
      <x:c r="E30" s="31" t="str">
        <x:v>IP地址</x:v>
      </x:c>
      <x:c r="F30" s="31" t="str"/>
      <x:c r="G30" s="31" t="str"/>
      <x:c r="H30" s="31" t="str">
        <x:v>本体类</x:v>
      </x:c>
      <x:c r="I30" s="31" t="str">
        <x:v>主标识见属性定义</x:v>
      </x:c>
      <x:c r="J30" s="31" t="str">
        <x:v>业务操作或文件上传IP。</x:v>
      </x:c>
    </x:row>
    <x:row r="31">
      <x:c r="A31" s="31" t="str">
        <x:v>EL-DEMO-027</x:v>
      </x:c>
      <x:c r="B31" s="31" t="str">
        <x:v>ONT-PROC-DEMO</x:v>
      </x:c>
      <x:c r="C31" s="31" t="str">
        <x:v>class</x:v>
      </x:c>
      <x:c r="D31" s="31" t="str">
        <x:v>PROC.Device</x:v>
      </x:c>
      <x:c r="E31" s="31" t="str">
        <x:v>终端设备</x:v>
      </x:c>
      <x:c r="F31" s="31" t="str"/>
      <x:c r="G31" s="31" t="str"/>
      <x:c r="H31" s="31" t="str">
        <x:v>本体类</x:v>
      </x:c>
      <x:c r="I31" s="31" t="str">
        <x:v>主标识见属性定义</x:v>
      </x:c>
      <x:c r="J31" s="31" t="str">
        <x:v>文件制作或业务操作设备。</x:v>
      </x:c>
    </x:row>
    <x:row r="32">
      <x:c r="A32" s="31" t="str">
        <x:v>EL-DEMO-028</x:v>
      </x:c>
      <x:c r="B32" s="31" t="str">
        <x:v>ONT-PROC-DEMO</x:v>
      </x:c>
      <x:c r="C32" s="31" t="str">
        <x:v>class</x:v>
      </x:c>
      <x:c r="D32" s="31" t="str">
        <x:v>PROC.RiskWarning</x:v>
      </x:c>
      <x:c r="E32" s="31" t="str">
        <x:v>风险预警</x:v>
      </x:c>
      <x:c r="F32" s="31" t="str"/>
      <x:c r="G32" s="31" t="str"/>
      <x:c r="H32" s="31" t="str">
        <x:v>本体类</x:v>
      </x:c>
      <x:c r="I32" s="31" t="str">
        <x:v>主标识见属性定义</x:v>
      </x:c>
      <x:c r="J32" s="31" t="str">
        <x:v>规则命中后形成的风险预警。</x:v>
      </x:c>
    </x:row>
    <x:row r="33">
      <x:c r="A33" s="31" t="str">
        <x:v>EL-DEMO-029</x:v>
      </x:c>
      <x:c r="B33" s="31" t="str">
        <x:v>ONT-PROC-DEMO</x:v>
      </x:c>
      <x:c r="C33" s="31" t="str">
        <x:v>property</x:v>
      </x:c>
      <x:c r="D33" s="31" t="str">
        <x:v>PROC.Organization.org_code</x:v>
      </x:c>
      <x:c r="E33" s="31" t="str">
        <x:v>组织编码</x:v>
      </x:c>
      <x:c r="F33" s="31" t="str">
        <x:v>PROC.Organization</x:v>
      </x:c>
      <x:c r="G33" s="31" t="str"/>
      <x:c r="H33" s="31" t="str">
        <x:v>文本</x:v>
      </x:c>
      <x:c r="I33" s="31" t="str">
        <x:v>主标识、必填</x:v>
      </x:c>
      <x:c r="J33" s="31" t="str">
        <x:v>组织统一编码。</x:v>
      </x:c>
    </x:row>
    <x:row r="34">
      <x:c r="A34" s="31" t="str">
        <x:v>EL-DEMO-030</x:v>
      </x:c>
      <x:c r="B34" s="31" t="str">
        <x:v>ONT-PROC-DEMO</x:v>
      </x:c>
      <x:c r="C34" s="31" t="str">
        <x:v>property</x:v>
      </x:c>
      <x:c r="D34" s="31" t="str">
        <x:v>PROC.Person.person_id</x:v>
      </x:c>
      <x:c r="E34" s="31" t="str">
        <x:v>人员编码</x:v>
      </x:c>
      <x:c r="F34" s="31" t="str">
        <x:v>PROC.Person</x:v>
      </x:c>
      <x:c r="G34" s="31" t="str"/>
      <x:c r="H34" s="31" t="str">
        <x:v>文本</x:v>
      </x:c>
      <x:c r="I34" s="31" t="str">
        <x:v>主标识、必填</x:v>
      </x:c>
      <x:c r="J34" s="31" t="str">
        <x:v>人员唯一标识。</x:v>
      </x:c>
    </x:row>
    <x:row r="35">
      <x:c r="A35" s="31" t="str">
        <x:v>EL-DEMO-031</x:v>
      </x:c>
      <x:c r="B35" s="31" t="str">
        <x:v>ONT-PROC-DEMO</x:v>
      </x:c>
      <x:c r="C35" s="31" t="str">
        <x:v>property</x:v>
      </x:c>
      <x:c r="D35" s="31" t="str">
        <x:v>PROC.Person.employment_status</x:v>
      </x:c>
      <x:c r="E35" s="31" t="str">
        <x:v>任职状态</x:v>
      </x:c>
      <x:c r="F35" s="31" t="str">
        <x:v>PROC.Person</x:v>
      </x:c>
      <x:c r="G35" s="31" t="str"/>
      <x:c r="H35" s="31" t="str">
        <x:v>枚举</x:v>
      </x:c>
      <x:c r="I35" s="31" t="str">
        <x:v>在职/离职/外部</x:v>
      </x:c>
      <x:c r="J35" s="31" t="str">
        <x:v>人员当前任职状态。</x:v>
      </x:c>
    </x:row>
    <x:row r="36">
      <x:c r="A36" s="31" t="str">
        <x:v>EL-DEMO-032</x:v>
      </x:c>
      <x:c r="B36" s="31" t="str">
        <x:v>ONT-PROC-DEMO</x:v>
      </x:c>
      <x:c r="C36" s="31" t="str">
        <x:v>property</x:v>
      </x:c>
      <x:c r="D36" s="31" t="str">
        <x:v>PROC.Supplier.credit_code</x:v>
      </x:c>
      <x:c r="E36" s="31" t="str">
        <x:v>统一社会信用代码</x:v>
      </x:c>
      <x:c r="F36" s="31" t="str">
        <x:v>PROC.Supplier</x:v>
      </x:c>
      <x:c r="G36" s="31" t="str"/>
      <x:c r="H36" s="31" t="str">
        <x:v>文本</x:v>
      </x:c>
      <x:c r="I36" s="31" t="str">
        <x:v>主标识、必填</x:v>
      </x:c>
      <x:c r="J36" s="31" t="str">
        <x:v>供应商工商登记主标识。</x:v>
      </x:c>
    </x:row>
    <x:row r="37">
      <x:c r="A37" s="31" t="str">
        <x:v>EL-DEMO-033</x:v>
      </x:c>
      <x:c r="B37" s="31" t="str">
        <x:v>ONT-PROC-DEMO</x:v>
      </x:c>
      <x:c r="C37" s="31" t="str">
        <x:v>property</x:v>
      </x:c>
      <x:c r="D37" s="31" t="str">
        <x:v>PROC.Supplier.registered_at</x:v>
      </x:c>
      <x:c r="E37" s="31" t="str">
        <x:v>成立日期</x:v>
      </x:c>
      <x:c r="F37" s="31" t="str">
        <x:v>PROC.Supplier</x:v>
      </x:c>
      <x:c r="G37" s="31" t="str"/>
      <x:c r="H37" s="31" t="str">
        <x:v>日期</x:v>
      </x:c>
      <x:c r="I37" s="31" t="str">
        <x:v>可空</x:v>
      </x:c>
      <x:c r="J37" s="31" t="str">
        <x:v>供应商成立日期。</x:v>
      </x:c>
    </x:row>
    <x:row r="38">
      <x:c r="A38" s="31" t="str">
        <x:v>EL-DEMO-034</x:v>
      </x:c>
      <x:c r="B38" s="31" t="str">
        <x:v>ONT-PROC-DEMO</x:v>
      </x:c>
      <x:c r="C38" s="31" t="str">
        <x:v>property</x:v>
      </x:c>
      <x:c r="D38" s="31" t="str">
        <x:v>PROC.Supplier.employee_count</x:v>
      </x:c>
      <x:c r="E38" s="31" t="str">
        <x:v>员工人数</x:v>
      </x:c>
      <x:c r="F38" s="31" t="str">
        <x:v>PROC.Supplier</x:v>
      </x:c>
      <x:c r="G38" s="31" t="str"/>
      <x:c r="H38" s="31" t="str">
        <x:v>整数</x:v>
      </x:c>
      <x:c r="I38" s="31" t="str">
        <x:v>大于等于0</x:v>
      </x:c>
      <x:c r="J38" s="31" t="str">
        <x:v>供应商参保或主数据员工人数。</x:v>
      </x:c>
    </x:row>
    <x:row r="39">
      <x:c r="A39" s="31" t="str">
        <x:v>EL-DEMO-035</x:v>
      </x:c>
      <x:c r="B39" s="31" t="str">
        <x:v>ONT-PROC-DEMO</x:v>
      </x:c>
      <x:c r="C39" s="31" t="str">
        <x:v>property</x:v>
      </x:c>
      <x:c r="D39" s="31" t="str">
        <x:v>PROC.Supplier.registered_capital</x:v>
      </x:c>
      <x:c r="E39" s="31" t="str">
        <x:v>注册资本</x:v>
      </x:c>
      <x:c r="F39" s="31" t="str">
        <x:v>PROC.Supplier</x:v>
      </x:c>
      <x:c r="G39" s="31" t="str"/>
      <x:c r="H39" s="31" t="str">
        <x:v>金额</x:v>
      </x:c>
      <x:c r="I39" s="31" t="str">
        <x:v>大于等于0</x:v>
      </x:c>
      <x:c r="J39" s="31" t="str">
        <x:v>工商登记注册资本。</x:v>
      </x:c>
    </x:row>
    <x:row r="40">
      <x:c r="A40" s="31" t="str">
        <x:v>EL-DEMO-036</x:v>
      </x:c>
      <x:c r="B40" s="31" t="str">
        <x:v>ONT-PROC-DEMO</x:v>
      </x:c>
      <x:c r="C40" s="31" t="str">
        <x:v>property</x:v>
      </x:c>
      <x:c r="D40" s="31" t="str">
        <x:v>PROC.Supplier.status</x:v>
      </x:c>
      <x:c r="E40" s="31" t="str">
        <x:v>供应商状态</x:v>
      </x:c>
      <x:c r="F40" s="31" t="str">
        <x:v>PROC.Supplier</x:v>
      </x:c>
      <x:c r="G40" s="31" t="str"/>
      <x:c r="H40" s="31" t="str">
        <x:v>枚举</x:v>
      </x:c>
      <x:c r="I40" s="31" t="str">
        <x:v>准入/暂停/退出</x:v>
      </x:c>
      <x:c r="J40" s="31" t="str">
        <x:v>供应商准入状态。</x:v>
      </x:c>
    </x:row>
    <x:row r="41">
      <x:c r="A41" s="31" t="str">
        <x:v>EL-DEMO-037</x:v>
      </x:c>
      <x:c r="B41" s="31" t="str">
        <x:v>ONT-PROC-DEMO</x:v>
      </x:c>
      <x:c r="C41" s="31" t="str">
        <x:v>property</x:v>
      </x:c>
      <x:c r="D41" s="31" t="str">
        <x:v>PROC.ProcurementDemand.category</x:v>
      </x:c>
      <x:c r="E41" s="31" t="str">
        <x:v>采购品类</x:v>
      </x:c>
      <x:c r="F41" s="31" t="str">
        <x:v>PROC.ProcurementDemand</x:v>
      </x:c>
      <x:c r="G41" s="31" t="str"/>
      <x:c r="H41" s="31" t="str">
        <x:v>文本</x:v>
      </x:c>
      <x:c r="I41" s="31" t="str">
        <x:v>必填</x:v>
      </x:c>
      <x:c r="J41" s="31" t="str">
        <x:v>采购需求分类。</x:v>
      </x:c>
    </x:row>
    <x:row r="42">
      <x:c r="A42" s="31" t="str">
        <x:v>EL-DEMO-038</x:v>
      </x:c>
      <x:c r="B42" s="31" t="str">
        <x:v>ONT-PROC-DEMO</x:v>
      </x:c>
      <x:c r="C42" s="31" t="str">
        <x:v>property</x:v>
      </x:c>
      <x:c r="D42" s="31" t="str">
        <x:v>PROC.ProcurementDemand.amount</x:v>
      </x:c>
      <x:c r="E42" s="31" t="str">
        <x:v>需求金额</x:v>
      </x:c>
      <x:c r="F42" s="31" t="str">
        <x:v>PROC.ProcurementDemand</x:v>
      </x:c>
      <x:c r="G42" s="31" t="str"/>
      <x:c r="H42" s="31" t="str">
        <x:v>金额</x:v>
      </x:c>
      <x:c r="I42" s="31" t="str">
        <x:v>大于0</x:v>
      </x:c>
      <x:c r="J42" s="31" t="str">
        <x:v>需求估算金额。</x:v>
      </x:c>
    </x:row>
    <x:row r="43">
      <x:c r="A43" s="31" t="str">
        <x:v>EL-DEMO-039</x:v>
      </x:c>
      <x:c r="B43" s="31" t="str">
        <x:v>ONT-PROC-DEMO</x:v>
      </x:c>
      <x:c r="C43" s="31" t="str">
        <x:v>property</x:v>
      </x:c>
      <x:c r="D43" s="31" t="str">
        <x:v>PROC.ProcurementPlan.plan_amount</x:v>
      </x:c>
      <x:c r="E43" s="31" t="str">
        <x:v>方案金额</x:v>
      </x:c>
      <x:c r="F43" s="31" t="str">
        <x:v>PROC.ProcurementPlan</x:v>
      </x:c>
      <x:c r="G43" s="31" t="str"/>
      <x:c r="H43" s="31" t="str">
        <x:v>金额</x:v>
      </x:c>
      <x:c r="I43" s="31" t="str">
        <x:v>大于0</x:v>
      </x:c>
      <x:c r="J43" s="31" t="str">
        <x:v>采购方案金额。</x:v>
      </x:c>
    </x:row>
    <x:row r="44">
      <x:c r="A44" s="31" t="str">
        <x:v>EL-DEMO-040</x:v>
      </x:c>
      <x:c r="B44" s="31" t="str">
        <x:v>ONT-PROC-DEMO</x:v>
      </x:c>
      <x:c r="C44" s="31" t="str">
        <x:v>property</x:v>
      </x:c>
      <x:c r="D44" s="31" t="str">
        <x:v>PROC.ProcurementPlan.procurement_method</x:v>
      </x:c>
      <x:c r="E44" s="31" t="str">
        <x:v>采购方式</x:v>
      </x:c>
      <x:c r="F44" s="31" t="str">
        <x:v>PROC.ProcurementPlan</x:v>
      </x:c>
      <x:c r="G44" s="31" t="str"/>
      <x:c r="H44" s="31" t="str">
        <x:v>枚举</x:v>
      </x:c>
      <x:c r="I44" s="31" t="str">
        <x:v>必填</x:v>
      </x:c>
      <x:c r="J44" s="31" t="str">
        <x:v>公开招标、询价、竞争性谈判等。</x:v>
      </x:c>
    </x:row>
    <x:row r="45">
      <x:c r="A45" s="31" t="str">
        <x:v>EL-DEMO-041</x:v>
      </x:c>
      <x:c r="B45" s="31" t="str">
        <x:v>ONT-PROC-DEMO</x:v>
      </x:c>
      <x:c r="C45" s="31" t="str">
        <x:v>property</x:v>
      </x:c>
      <x:c r="D45" s="31" t="str">
        <x:v>PROC.ProcurementPlan.required_method</x:v>
      </x:c>
      <x:c r="E45" s="31" t="str">
        <x:v>应采用采购方式</x:v>
      </x:c>
      <x:c r="F45" s="31" t="str">
        <x:v>PROC.ProcurementPlan</x:v>
      </x:c>
      <x:c r="G45" s="31" t="str"/>
      <x:c r="H45" s="31" t="str">
        <x:v>枚举</x:v>
      </x:c>
      <x:c r="I45" s="31" t="str">
        <x:v>规则推导</x:v>
      </x:c>
      <x:c r="J45" s="31" t="str">
        <x:v>依据金额、品类与制度推导。</x:v>
      </x:c>
    </x:row>
    <x:row r="46">
      <x:c r="A46" s="31" t="str">
        <x:v>EL-DEMO-042</x:v>
      </x:c>
      <x:c r="B46" s="31" t="str">
        <x:v>ONT-PROC-DEMO</x:v>
      </x:c>
      <x:c r="C46" s="31" t="str">
        <x:v>property</x:v>
      </x:c>
      <x:c r="D46" s="31" t="str">
        <x:v>PROC.ProcurementPlan.exception_approval_no</x:v>
      </x:c>
      <x:c r="E46" s="31" t="str">
        <x:v>例外审批单号</x:v>
      </x:c>
      <x:c r="F46" s="31" t="str">
        <x:v>PROC.ProcurementPlan</x:v>
      </x:c>
      <x:c r="G46" s="31" t="str"/>
      <x:c r="H46" s="31" t="str">
        <x:v>文本</x:v>
      </x:c>
      <x:c r="I46" s="31" t="str">
        <x:v>条件必填</x:v>
      </x:c>
      <x:c r="J46" s="31" t="str">
        <x:v>非公开招标的例外审批依据。</x:v>
      </x:c>
    </x:row>
    <x:row r="47">
      <x:c r="A47" s="31" t="str">
        <x:v>EL-DEMO-043</x:v>
      </x:c>
      <x:c r="B47" s="31" t="str">
        <x:v>ONT-PROC-DEMO</x:v>
      </x:c>
      <x:c r="C47" s="31" t="str">
        <x:v>property</x:v>
      </x:c>
      <x:c r="D47" s="31" t="str">
        <x:v>PROC.BudgetApproval.approved_amount</x:v>
      </x:c>
      <x:c r="E47" s="31" t="str">
        <x:v>批复金额</x:v>
      </x:c>
      <x:c r="F47" s="31" t="str">
        <x:v>PROC.BudgetApproval</x:v>
      </x:c>
      <x:c r="G47" s="31" t="str"/>
      <x:c r="H47" s="31" t="str">
        <x:v>金额</x:v>
      </x:c>
      <x:c r="I47" s="31" t="str">
        <x:v>大于等于0</x:v>
      </x:c>
      <x:c r="J47" s="31" t="str">
        <x:v>预算批复额度。</x:v>
      </x:c>
    </x:row>
    <x:row r="48">
      <x:c r="A48" s="31" t="str">
        <x:v>EL-DEMO-044</x:v>
      </x:c>
      <x:c r="B48" s="31" t="str">
        <x:v>ONT-PROC-DEMO</x:v>
      </x:c>
      <x:c r="C48" s="31" t="str">
        <x:v>property</x:v>
      </x:c>
      <x:c r="D48" s="31" t="str">
        <x:v>PROC.BudgetApproval.approval_status</x:v>
      </x:c>
      <x:c r="E48" s="31" t="str">
        <x:v>批复状态</x:v>
      </x:c>
      <x:c r="F48" s="31" t="str">
        <x:v>PROC.BudgetApproval</x:v>
      </x:c>
      <x:c r="G48" s="31" t="str"/>
      <x:c r="H48" s="31" t="str">
        <x:v>枚举</x:v>
      </x:c>
      <x:c r="I48" s="31" t="str">
        <x:v>审批中/已通过/驳回</x:v>
      </x:c>
      <x:c r="J48" s="31" t="str">
        <x:v>预算审批状态。</x:v>
      </x:c>
    </x:row>
    <x:row r="49">
      <x:c r="A49" s="31" t="str">
        <x:v>EL-DEMO-045</x:v>
      </x:c>
      <x:c r="B49" s="31" t="str">
        <x:v>ONT-PROC-DEMO</x:v>
      </x:c>
      <x:c r="C49" s="31" t="str">
        <x:v>property</x:v>
      </x:c>
      <x:c r="D49" s="31" t="str">
        <x:v>PROC.BudgetApproval.approved_at</x:v>
      </x:c>
      <x:c r="E49" s="31" t="str">
        <x:v>批复时间</x:v>
      </x:c>
      <x:c r="F49" s="31" t="str">
        <x:v>PROC.BudgetApproval</x:v>
      </x:c>
      <x:c r="G49" s="31" t="str"/>
      <x:c r="H49" s="31" t="str">
        <x:v>日期时间</x:v>
      </x:c>
      <x:c r="I49" s="31" t="str">
        <x:v>可空</x:v>
      </x:c>
      <x:c r="J49" s="31" t="str">
        <x:v>预算正式批复时间。</x:v>
      </x:c>
    </x:row>
    <x:row r="50">
      <x:c r="A50" s="31" t="str">
        <x:v>EL-DEMO-046</x:v>
      </x:c>
      <x:c r="B50" s="31" t="str">
        <x:v>ONT-PROC-DEMO</x:v>
      </x:c>
      <x:c r="C50" s="31" t="str">
        <x:v>property</x:v>
      </x:c>
      <x:c r="D50" s="31" t="str">
        <x:v>PROC.PurchaseProject.project_code</x:v>
      </x:c>
      <x:c r="E50" s="31" t="str">
        <x:v>项目编码</x:v>
      </x:c>
      <x:c r="F50" s="31" t="str">
        <x:v>PROC.PurchaseProject</x:v>
      </x:c>
      <x:c r="G50" s="31" t="str"/>
      <x:c r="H50" s="31" t="str">
        <x:v>文本</x:v>
      </x:c>
      <x:c r="I50" s="31" t="str">
        <x:v>主标识、必填</x:v>
      </x:c>
      <x:c r="J50" s="31" t="str">
        <x:v>采购项目唯一编码。</x:v>
      </x:c>
    </x:row>
    <x:row r="51">
      <x:c r="A51" s="31" t="str">
        <x:v>EL-DEMO-047</x:v>
      </x:c>
      <x:c r="B51" s="31" t="str">
        <x:v>ONT-PROC-DEMO</x:v>
      </x:c>
      <x:c r="C51" s="31" t="str">
        <x:v>property</x:v>
      </x:c>
      <x:c r="D51" s="31" t="str">
        <x:v>PROC.PurchaseProject.estimated_amount</x:v>
      </x:c>
      <x:c r="E51" s="31" t="str">
        <x:v>项目估算金额</x:v>
      </x:c>
      <x:c r="F51" s="31" t="str">
        <x:v>PROC.PurchaseProject</x:v>
      </x:c>
      <x:c r="G51" s="31" t="str"/>
      <x:c r="H51" s="31" t="str">
        <x:v>金额</x:v>
      </x:c>
      <x:c r="I51" s="31" t="str">
        <x:v>大于0</x:v>
      </x:c>
      <x:c r="J51" s="31" t="str">
        <x:v>采购项目估算金额。</x:v>
      </x:c>
    </x:row>
    <x:row r="52">
      <x:c r="A52" s="31" t="str">
        <x:v>EL-DEMO-048</x:v>
      </x:c>
      <x:c r="B52" s="31" t="str">
        <x:v>ONT-PROC-DEMO</x:v>
      </x:c>
      <x:c r="C52" s="31" t="str">
        <x:v>property</x:v>
      </x:c>
      <x:c r="D52" s="31" t="str">
        <x:v>PROC.PurchaseProject.category</x:v>
      </x:c>
      <x:c r="E52" s="31" t="str">
        <x:v>项目品类</x:v>
      </x:c>
      <x:c r="F52" s="31" t="str">
        <x:v>PROC.PurchaseProject</x:v>
      </x:c>
      <x:c r="G52" s="31" t="str"/>
      <x:c r="H52" s="31" t="str">
        <x:v>文本</x:v>
      </x:c>
      <x:c r="I52" s="31" t="str">
        <x:v>必填</x:v>
      </x:c>
      <x:c r="J52" s="31" t="str">
        <x:v>项目采购品类。</x:v>
      </x:c>
    </x:row>
    <x:row r="53">
      <x:c r="A53" s="31" t="str">
        <x:v>EL-DEMO-049</x:v>
      </x:c>
      <x:c r="B53" s="31" t="str">
        <x:v>ONT-PROC-DEMO</x:v>
      </x:c>
      <x:c r="C53" s="31" t="str">
        <x:v>property</x:v>
      </x:c>
      <x:c r="D53" s="31" t="str">
        <x:v>PROC.PurchaseProject.created_at</x:v>
      </x:c>
      <x:c r="E53" s="31" t="str">
        <x:v>项目创建时间</x:v>
      </x:c>
      <x:c r="F53" s="31" t="str">
        <x:v>PROC.PurchaseProject</x:v>
      </x:c>
      <x:c r="G53" s="31" t="str"/>
      <x:c r="H53" s="31" t="str">
        <x:v>日期时间</x:v>
      </x:c>
      <x:c r="I53" s="31" t="str">
        <x:v>必填</x:v>
      </x:c>
      <x:c r="J53" s="31" t="str">
        <x:v>项目建立时间。</x:v>
      </x:c>
    </x:row>
    <x:row r="54">
      <x:c r="A54" s="31" t="str">
        <x:v>EL-DEMO-050</x:v>
      </x:c>
      <x:c r="B54" s="31" t="str">
        <x:v>ONT-PROC-DEMO</x:v>
      </x:c>
      <x:c r="C54" s="31" t="str">
        <x:v>property</x:v>
      </x:c>
      <x:c r="D54" s="31" t="str">
        <x:v>PROC.TenderAnnouncement.publish_at</x:v>
      </x:c>
      <x:c r="E54" s="31" t="str">
        <x:v>公告发布时间</x:v>
      </x:c>
      <x:c r="F54" s="31" t="str">
        <x:v>PROC.TenderAnnouncement</x:v>
      </x:c>
      <x:c r="G54" s="31" t="str"/>
      <x:c r="H54" s="31" t="str">
        <x:v>日期时间</x:v>
      </x:c>
      <x:c r="I54" s="31" t="str">
        <x:v>必填</x:v>
      </x:c>
      <x:c r="J54" s="31" t="str">
        <x:v>公告发布时点。</x:v>
      </x:c>
    </x:row>
    <x:row r="55">
      <x:c r="A55" s="31" t="str">
        <x:v>EL-DEMO-051</x:v>
      </x:c>
      <x:c r="B55" s="31" t="str">
        <x:v>ONT-PROC-DEMO</x:v>
      </x:c>
      <x:c r="C55" s="31" t="str">
        <x:v>property</x:v>
      </x:c>
      <x:c r="D55" s="31" t="str">
        <x:v>PROC.TenderAnnouncement.bid_deadline</x:v>
      </x:c>
      <x:c r="E55" s="31" t="str">
        <x:v>投标截止时间</x:v>
      </x:c>
      <x:c r="F55" s="31" t="str">
        <x:v>PROC.TenderAnnouncement</x:v>
      </x:c>
      <x:c r="G55" s="31" t="str"/>
      <x:c r="H55" s="31" t="str">
        <x:v>日期时间</x:v>
      </x:c>
      <x:c r="I55" s="31" t="str">
        <x:v>必填</x:v>
      </x:c>
      <x:c r="J55" s="31" t="str">
        <x:v>投标截止时点。</x:v>
      </x:c>
    </x:row>
    <x:row r="56">
      <x:c r="A56" s="31" t="str">
        <x:v>EL-DEMO-052</x:v>
      </x:c>
      <x:c r="B56" s="31" t="str">
        <x:v>ONT-PROC-DEMO</x:v>
      </x:c>
      <x:c r="C56" s="31" t="str">
        <x:v>property</x:v>
      </x:c>
      <x:c r="D56" s="31" t="str">
        <x:v>PROC.TenderAnnouncement.minimum_days</x:v>
      </x:c>
      <x:c r="E56" s="31" t="str">
        <x:v>最低公告天数</x:v>
      </x:c>
      <x:c r="F56" s="31" t="str">
        <x:v>PROC.TenderAnnouncement</x:v>
      </x:c>
      <x:c r="G56" s="31" t="str"/>
      <x:c r="H56" s="31" t="str">
        <x:v>整数</x:v>
      </x:c>
      <x:c r="I56" s="31" t="str">
        <x:v>规则参数</x:v>
      </x:c>
      <x:c r="J56" s="31" t="str">
        <x:v>制度规定的最低投标期。</x:v>
      </x:c>
    </x:row>
    <x:row r="57">
      <x:c r="A57" s="31" t="str">
        <x:v>EL-DEMO-053</x:v>
      </x:c>
      <x:c r="B57" s="31" t="str">
        <x:v>ONT-PROC-DEMO</x:v>
      </x:c>
      <x:c r="C57" s="31" t="str">
        <x:v>property</x:v>
      </x:c>
      <x:c r="D57" s="31" t="str">
        <x:v>PROC.Bid.bid_amount</x:v>
      </x:c>
      <x:c r="E57" s="31" t="str">
        <x:v>投标报价</x:v>
      </x:c>
      <x:c r="F57" s="31" t="str">
        <x:v>PROC.Bid</x:v>
      </x:c>
      <x:c r="G57" s="31" t="str"/>
      <x:c r="H57" s="31" t="str">
        <x:v>金额</x:v>
      </x:c>
      <x:c r="I57" s="31" t="str">
        <x:v>大于0</x:v>
      </x:c>
      <x:c r="J57" s="31" t="str">
        <x:v>供应商投标报价。</x:v>
      </x:c>
    </x:row>
    <x:row r="58">
      <x:c r="A58" s="31" t="str">
        <x:v>EL-DEMO-054</x:v>
      </x:c>
      <x:c r="B58" s="31" t="str">
        <x:v>ONT-PROC-DEMO</x:v>
      </x:c>
      <x:c r="C58" s="31" t="str">
        <x:v>property</x:v>
      </x:c>
      <x:c r="D58" s="31" t="str">
        <x:v>PROC.Bid.submit_at</x:v>
      </x:c>
      <x:c r="E58" s="31" t="str">
        <x:v>提交时间</x:v>
      </x:c>
      <x:c r="F58" s="31" t="str">
        <x:v>PROC.Bid</x:v>
      </x:c>
      <x:c r="G58" s="31" t="str"/>
      <x:c r="H58" s="31" t="str">
        <x:v>日期时间</x:v>
      </x:c>
      <x:c r="I58" s="31" t="str">
        <x:v>必填</x:v>
      </x:c>
      <x:c r="J58" s="31" t="str">
        <x:v>投标文件提交时间。</x:v>
      </x:c>
    </x:row>
    <x:row r="59">
      <x:c r="A59" s="31" t="str">
        <x:v>EL-DEMO-055</x:v>
      </x:c>
      <x:c r="B59" s="31" t="str">
        <x:v>ONT-PROC-DEMO</x:v>
      </x:c>
      <x:c r="C59" s="31" t="str">
        <x:v>property</x:v>
      </x:c>
      <x:c r="D59" s="31" t="str">
        <x:v>PROC.BidDocument.file_hash</x:v>
      </x:c>
      <x:c r="E59" s="31" t="str">
        <x:v>文件哈希</x:v>
      </x:c>
      <x:c r="F59" s="31" t="str">
        <x:v>PROC.BidDocument</x:v>
      </x:c>
      <x:c r="G59" s="31" t="str"/>
      <x:c r="H59" s="31" t="str">
        <x:v>文本</x:v>
      </x:c>
      <x:c r="I59" s="31" t="str">
        <x:v>主标识</x:v>
      </x:c>
      <x:c r="J59" s="31" t="str">
        <x:v>投标文件内容哈希。</x:v>
      </x:c>
    </x:row>
    <x:row r="60">
      <x:c r="A60" s="31" t="str">
        <x:v>EL-DEMO-056</x:v>
      </x:c>
      <x:c r="B60" s="31" t="str">
        <x:v>ONT-PROC-DEMO</x:v>
      </x:c>
      <x:c r="C60" s="31" t="str">
        <x:v>property</x:v>
      </x:c>
      <x:c r="D60" s="31" t="str">
        <x:v>PROC.BidDocument.document_author</x:v>
      </x:c>
      <x:c r="E60" s="31" t="str">
        <x:v>文档作者</x:v>
      </x:c>
      <x:c r="F60" s="31" t="str">
        <x:v>PROC.BidDocument</x:v>
      </x:c>
      <x:c r="G60" s="31" t="str"/>
      <x:c r="H60" s="31" t="str">
        <x:v>文本</x:v>
      </x:c>
      <x:c r="I60" s="31" t="str">
        <x:v>可空</x:v>
      </x:c>
      <x:c r="J60" s="31" t="str">
        <x:v>Office文档作者元数据。</x:v>
      </x:c>
    </x:row>
    <x:row r="61">
      <x:c r="A61" s="31" t="str">
        <x:v>EL-DEMO-057</x:v>
      </x:c>
      <x:c r="B61" s="31" t="str">
        <x:v>ONT-PROC-DEMO</x:v>
      </x:c>
      <x:c r="C61" s="31" t="str">
        <x:v>property</x:v>
      </x:c>
      <x:c r="D61" s="31" t="str">
        <x:v>PROC.BidDocument.similarity_score</x:v>
      </x:c>
      <x:c r="E61" s="31" t="str">
        <x:v>文件相似度</x:v>
      </x:c>
      <x:c r="F61" s="31" t="str">
        <x:v>PROC.BidDocument</x:v>
      </x:c>
      <x:c r="G61" s="31" t="str"/>
      <x:c r="H61" s="31" t="str">
        <x:v>比例</x:v>
      </x:c>
      <x:c r="I61" s="31" t="str">
        <x:v>0到1</x:v>
      </x:c>
      <x:c r="J61" s="31" t="str">
        <x:v>与其他投标文件的相似度。</x:v>
      </x:c>
    </x:row>
    <x:row r="62">
      <x:c r="A62" s="31" t="str">
        <x:v>EL-DEMO-058</x:v>
      </x:c>
      <x:c r="B62" s="31" t="str">
        <x:v>ONT-PROC-DEMO</x:v>
      </x:c>
      <x:c r="C62" s="31" t="str">
        <x:v>property</x:v>
      </x:c>
      <x:c r="D62" s="31" t="str">
        <x:v>PROC.ReviewPanel.selection_method</x:v>
      </x:c>
      <x:c r="E62" s="31" t="str">
        <x:v>专家产生方式</x:v>
      </x:c>
      <x:c r="F62" s="31" t="str">
        <x:v>PROC.ReviewPanel</x:v>
      </x:c>
      <x:c r="G62" s="31" t="str"/>
      <x:c r="H62" s="31" t="str">
        <x:v>枚举</x:v>
      </x:c>
      <x:c r="I62" s="31" t="str">
        <x:v>随机抽取/指定</x:v>
      </x:c>
      <x:c r="J62" s="31" t="str">
        <x:v>评审专家产生方式。</x:v>
      </x:c>
    </x:row>
    <x:row r="63">
      <x:c r="A63" s="31" t="str">
        <x:v>EL-DEMO-059</x:v>
      </x:c>
      <x:c r="B63" s="31" t="str">
        <x:v>ONT-PROC-DEMO</x:v>
      </x:c>
      <x:c r="C63" s="31" t="str">
        <x:v>property</x:v>
      </x:c>
      <x:c r="D63" s="31" t="str">
        <x:v>PROC.ReviewPanel.draw_record_no</x:v>
      </x:c>
      <x:c r="E63" s="31" t="str">
        <x:v>抽取记录编号</x:v>
      </x:c>
      <x:c r="F63" s="31" t="str">
        <x:v>PROC.ReviewPanel</x:v>
      </x:c>
      <x:c r="G63" s="31" t="str"/>
      <x:c r="H63" s="31" t="str">
        <x:v>文本</x:v>
      </x:c>
      <x:c r="I63" s="31" t="str">
        <x:v>条件必填</x:v>
      </x:c>
      <x:c r="J63" s="31" t="str">
        <x:v>随机抽取留痕编号。</x:v>
      </x:c>
    </x:row>
    <x:row r="64">
      <x:c r="A64" s="31" t="str">
        <x:v>EL-DEMO-060</x:v>
      </x:c>
      <x:c r="B64" s="31" t="str">
        <x:v>ONT-PROC-DEMO</x:v>
      </x:c>
      <x:c r="C64" s="31" t="str">
        <x:v>property</x:v>
      </x:c>
      <x:c r="D64" s="31" t="str">
        <x:v>PROC.Contract.contract_amount</x:v>
      </x:c>
      <x:c r="E64" s="31" t="str">
        <x:v>合同金额</x:v>
      </x:c>
      <x:c r="F64" s="31" t="str">
        <x:v>PROC.Contract</x:v>
      </x:c>
      <x:c r="G64" s="31" t="str"/>
      <x:c r="H64" s="31" t="str">
        <x:v>金额</x:v>
      </x:c>
      <x:c r="I64" s="31" t="str">
        <x:v>大于0</x:v>
      </x:c>
      <x:c r="J64" s="31" t="str">
        <x:v>合同签订金额。</x:v>
      </x:c>
    </x:row>
    <x:row r="65">
      <x:c r="A65" s="31" t="str">
        <x:v>EL-DEMO-061</x:v>
      </x:c>
      <x:c r="B65" s="31" t="str">
        <x:v>ONT-PROC-DEMO</x:v>
      </x:c>
      <x:c r="C65" s="31" t="str">
        <x:v>property</x:v>
      </x:c>
      <x:c r="D65" s="31" t="str">
        <x:v>PROC.Contract.signed_at</x:v>
      </x:c>
      <x:c r="E65" s="31" t="str">
        <x:v>合同签订时间</x:v>
      </x:c>
      <x:c r="F65" s="31" t="str">
        <x:v>PROC.Contract</x:v>
      </x:c>
      <x:c r="G65" s="31" t="str"/>
      <x:c r="H65" s="31" t="str">
        <x:v>日期时间</x:v>
      </x:c>
      <x:c r="I65" s="31" t="str">
        <x:v>必填</x:v>
      </x:c>
      <x:c r="J65" s="31" t="str">
        <x:v>合同签订时点。</x:v>
      </x:c>
    </x:row>
    <x:row r="66">
      <x:c r="A66" s="31" t="str">
        <x:v>EL-DEMO-062</x:v>
      </x:c>
      <x:c r="B66" s="31" t="str">
        <x:v>ONT-PROC-DEMO</x:v>
      </x:c>
      <x:c r="C66" s="31" t="str">
        <x:v>property</x:v>
      </x:c>
      <x:c r="D66" s="31" t="str">
        <x:v>PROC.ContractChange.change_amount</x:v>
      </x:c>
      <x:c r="E66" s="31" t="str">
        <x:v>变更增加金额</x:v>
      </x:c>
      <x:c r="F66" s="31" t="str">
        <x:v>PROC.ContractChange</x:v>
      </x:c>
      <x:c r="G66" s="31" t="str"/>
      <x:c r="H66" s="31" t="str">
        <x:v>金额</x:v>
      </x:c>
      <x:c r="I66" s="31" t="str">
        <x:v>可正可负</x:v>
      </x:c>
      <x:c r="J66" s="31" t="str">
        <x:v>合同变更金额。</x:v>
      </x:c>
    </x:row>
    <x:row r="67">
      <x:c r="A67" s="31" t="str">
        <x:v>EL-DEMO-063</x:v>
      </x:c>
      <x:c r="B67" s="31" t="str">
        <x:v>ONT-PROC-DEMO</x:v>
      </x:c>
      <x:c r="C67" s="31" t="str">
        <x:v>property</x:v>
      </x:c>
      <x:c r="D67" s="31" t="str">
        <x:v>PROC.ContractChange.change_rate</x:v>
      </x:c>
      <x:c r="E67" s="31" t="str">
        <x:v>变更比例</x:v>
      </x:c>
      <x:c r="F67" s="31" t="str">
        <x:v>PROC.ContractChange</x:v>
      </x:c>
      <x:c r="G67" s="31" t="str"/>
      <x:c r="H67" s="31" t="str">
        <x:v>比例</x:v>
      </x:c>
      <x:c r="I67" s="31" t="str">
        <x:v>可正可负</x:v>
      </x:c>
      <x:c r="J67" s="31" t="str">
        <x:v>累计变更额/原合同额。</x:v>
      </x:c>
    </x:row>
    <x:row r="68">
      <x:c r="A68" s="31" t="str">
        <x:v>EL-DEMO-064</x:v>
      </x:c>
      <x:c r="B68" s="31" t="str">
        <x:v>ONT-PROC-DEMO</x:v>
      </x:c>
      <x:c r="C68" s="31" t="str">
        <x:v>property</x:v>
      </x:c>
      <x:c r="D68" s="31" t="str">
        <x:v>PROC.PurchaseOrder.order_amount</x:v>
      </x:c>
      <x:c r="E68" s="31" t="str">
        <x:v>订单金额</x:v>
      </x:c>
      <x:c r="F68" s="31" t="str">
        <x:v>PROC.PurchaseOrder</x:v>
      </x:c>
      <x:c r="G68" s="31" t="str"/>
      <x:c r="H68" s="31" t="str">
        <x:v>金额</x:v>
      </x:c>
      <x:c r="I68" s="31" t="str">
        <x:v>大于0</x:v>
      </x:c>
      <x:c r="J68" s="31" t="str">
        <x:v>采购订单金额。</x:v>
      </x:c>
    </x:row>
    <x:row r="69">
      <x:c r="A69" s="31" t="str">
        <x:v>EL-DEMO-065</x:v>
      </x:c>
      <x:c r="B69" s="31" t="str">
        <x:v>ONT-PROC-DEMO</x:v>
      </x:c>
      <x:c r="C69" s="31" t="str">
        <x:v>property</x:v>
      </x:c>
      <x:c r="D69" s="31" t="str">
        <x:v>PROC.LogisticsRecord.vehicle_no</x:v>
      </x:c>
      <x:c r="E69" s="31" t="str">
        <x:v>运输车辆号</x:v>
      </x:c>
      <x:c r="F69" s="31" t="str">
        <x:v>PROC.LogisticsRecord</x:v>
      </x:c>
      <x:c r="G69" s="31" t="str"/>
      <x:c r="H69" s="31" t="str">
        <x:v>文本</x:v>
      </x:c>
      <x:c r="I69" s="31" t="str">
        <x:v>可空</x:v>
      </x:c>
      <x:c r="J69" s="31" t="str">
        <x:v>物流车辆标识。</x:v>
      </x:c>
    </x:row>
    <x:row r="70">
      <x:c r="A70" s="31" t="str">
        <x:v>EL-DEMO-066</x:v>
      </x:c>
      <x:c r="B70" s="31" t="str">
        <x:v>ONT-PROC-DEMO</x:v>
      </x:c>
      <x:c r="C70" s="31" t="str">
        <x:v>property</x:v>
      </x:c>
      <x:c r="D70" s="31" t="str">
        <x:v>PROC.LogisticsRecord.cargo_weight</x:v>
      </x:c>
      <x:c r="E70" s="31" t="str">
        <x:v>货物重量</x:v>
      </x:c>
      <x:c r="F70" s="31" t="str">
        <x:v>PROC.LogisticsRecord</x:v>
      </x:c>
      <x:c r="G70" s="31" t="str"/>
      <x:c r="H70" s="31" t="str">
        <x:v>数值</x:v>
      </x:c>
      <x:c r="I70" s="31" t="str">
        <x:v>大于等于0</x:v>
      </x:c>
      <x:c r="J70" s="31" t="str">
        <x:v>物流申报货物重量。</x:v>
      </x:c>
    </x:row>
    <x:row r="71">
      <x:c r="A71" s="31" t="str">
        <x:v>EL-DEMO-067</x:v>
      </x:c>
      <x:c r="B71" s="31" t="str">
        <x:v>ONT-PROC-DEMO</x:v>
      </x:c>
      <x:c r="C71" s="31" t="str">
        <x:v>property</x:v>
      </x:c>
      <x:c r="D71" s="31" t="str">
        <x:v>PROC.LogisticsRecord.gps_distance</x:v>
      </x:c>
      <x:c r="E71" s="31" t="str">
        <x:v>GPS轨迹里程</x:v>
      </x:c>
      <x:c r="F71" s="31" t="str">
        <x:v>PROC.LogisticsRecord</x:v>
      </x:c>
      <x:c r="G71" s="31" t="str"/>
      <x:c r="H71" s="31" t="str">
        <x:v>数值</x:v>
      </x:c>
      <x:c r="I71" s="31" t="str">
        <x:v>大于等于0</x:v>
      </x:c>
      <x:c r="J71" s="31" t="str">
        <x:v>实际轨迹里程。</x:v>
      </x:c>
    </x:row>
    <x:row r="72">
      <x:c r="A72" s="31" t="str">
        <x:v>EL-DEMO-068</x:v>
      </x:c>
      <x:c r="B72" s="31" t="str">
        <x:v>ONT-PROC-DEMO</x:v>
      </x:c>
      <x:c r="C72" s="31" t="str">
        <x:v>property</x:v>
      </x:c>
      <x:c r="D72" s="31" t="str">
        <x:v>PROC.GoodsReceipt.receipt_status</x:v>
      </x:c>
      <x:c r="E72" s="31" t="str">
        <x:v>收货状态</x:v>
      </x:c>
      <x:c r="F72" s="31" t="str">
        <x:v>PROC.GoodsReceipt</x:v>
      </x:c>
      <x:c r="G72" s="31" t="str"/>
      <x:c r="H72" s="31" t="str">
        <x:v>枚举</x:v>
      </x:c>
      <x:c r="I72" s="31" t="str">
        <x:v>已收货/未收货/异常</x:v>
      </x:c>
      <x:c r="J72" s="31" t="str">
        <x:v>收货结论。</x:v>
      </x:c>
    </x:row>
    <x:row r="73">
      <x:c r="A73" s="31" t="str">
        <x:v>EL-DEMO-069</x:v>
      </x:c>
      <x:c r="B73" s="31" t="str">
        <x:v>ONT-PROC-DEMO</x:v>
      </x:c>
      <x:c r="C73" s="31" t="str">
        <x:v>property</x:v>
      </x:c>
      <x:c r="D73" s="31" t="str">
        <x:v>PROC.InspectionRecord.inspection_status</x:v>
      </x:c>
      <x:c r="E73" s="31" t="str">
        <x:v>验收状态</x:v>
      </x:c>
      <x:c r="F73" s="31" t="str">
        <x:v>PROC.InspectionRecord</x:v>
      </x:c>
      <x:c r="G73" s="31" t="str"/>
      <x:c r="H73" s="31" t="str">
        <x:v>枚举</x:v>
      </x:c>
      <x:c r="I73" s="31" t="str">
        <x:v>通过/不通过/未验收</x:v>
      </x:c>
      <x:c r="J73" s="31" t="str">
        <x:v>验收结论。</x:v>
      </x:c>
    </x:row>
    <x:row r="74">
      <x:c r="A74" s="31" t="str">
        <x:v>EL-DEMO-070</x:v>
      </x:c>
      <x:c r="B74" s="31" t="str">
        <x:v>ONT-PROC-DEMO</x:v>
      </x:c>
      <x:c r="C74" s="31" t="str">
        <x:v>property</x:v>
      </x:c>
      <x:c r="D74" s="31" t="str">
        <x:v>PROC.Invoice.invoice_amount</x:v>
      </x:c>
      <x:c r="E74" s="31" t="str">
        <x:v>发票金额</x:v>
      </x:c>
      <x:c r="F74" s="31" t="str">
        <x:v>PROC.Invoice</x:v>
      </x:c>
      <x:c r="G74" s="31" t="str"/>
      <x:c r="H74" s="31" t="str">
        <x:v>金额</x:v>
      </x:c>
      <x:c r="I74" s="31" t="str">
        <x:v>大于0</x:v>
      </x:c>
      <x:c r="J74" s="31" t="str">
        <x:v>开票金额。</x:v>
      </x:c>
    </x:row>
    <x:row r="75">
      <x:c r="A75" s="31" t="str">
        <x:v>EL-DEMO-071</x:v>
      </x:c>
      <x:c r="B75" s="31" t="str">
        <x:v>ONT-PROC-DEMO</x:v>
      </x:c>
      <x:c r="C75" s="31" t="str">
        <x:v>property</x:v>
      </x:c>
      <x:c r="D75" s="31" t="str">
        <x:v>PROC.Invoice.invoice_code</x:v>
      </x:c>
      <x:c r="E75" s="31" t="str">
        <x:v>发票代码</x:v>
      </x:c>
      <x:c r="F75" s="31" t="str">
        <x:v>PROC.Invoice</x:v>
      </x:c>
      <x:c r="G75" s="31" t="str"/>
      <x:c r="H75" s="31" t="str">
        <x:v>文本</x:v>
      </x:c>
      <x:c r="I75" s="31" t="str">
        <x:v>主标识</x:v>
      </x:c>
      <x:c r="J75" s="31" t="str">
        <x:v>发票唯一代码。</x:v>
      </x:c>
    </x:row>
    <x:row r="76">
      <x:c r="A76" s="31" t="str">
        <x:v>EL-DEMO-072</x:v>
      </x:c>
      <x:c r="B76" s="31" t="str">
        <x:v>ONT-PROC-DEMO</x:v>
      </x:c>
      <x:c r="C76" s="31" t="str">
        <x:v>property</x:v>
      </x:c>
      <x:c r="D76" s="31" t="str">
        <x:v>PROC.Payment.payment_amount</x:v>
      </x:c>
      <x:c r="E76" s="31" t="str">
        <x:v>付款金额</x:v>
      </x:c>
      <x:c r="F76" s="31" t="str">
        <x:v>PROC.Payment</x:v>
      </x:c>
      <x:c r="G76" s="31" t="str"/>
      <x:c r="H76" s="31" t="str">
        <x:v>金额</x:v>
      </x:c>
      <x:c r="I76" s="31" t="str">
        <x:v>大于0</x:v>
      </x:c>
      <x:c r="J76" s="31" t="str">
        <x:v>支付金额。</x:v>
      </x:c>
    </x:row>
    <x:row r="77">
      <x:c r="A77" s="31" t="str">
        <x:v>EL-DEMO-073</x:v>
      </x:c>
      <x:c r="B77" s="31" t="str">
        <x:v>ONT-PROC-DEMO</x:v>
      </x:c>
      <x:c r="C77" s="31" t="str">
        <x:v>property</x:v>
      </x:c>
      <x:c r="D77" s="31" t="str">
        <x:v>PROC.Payment.paid_at</x:v>
      </x:c>
      <x:c r="E77" s="31" t="str">
        <x:v>付款时间</x:v>
      </x:c>
      <x:c r="F77" s="31" t="str">
        <x:v>PROC.Payment</x:v>
      </x:c>
      <x:c r="G77" s="31" t="str"/>
      <x:c r="H77" s="31" t="str">
        <x:v>日期时间</x:v>
      </x:c>
      <x:c r="I77" s="31" t="str">
        <x:v>必填</x:v>
      </x:c>
      <x:c r="J77" s="31" t="str">
        <x:v>付款执行时间。</x:v>
      </x:c>
    </x:row>
    <x:row r="78">
      <x:c r="A78" s="31" t="str">
        <x:v>EL-DEMO-074</x:v>
      </x:c>
      <x:c r="B78" s="31" t="str">
        <x:v>ONT-PROC-DEMO</x:v>
      </x:c>
      <x:c r="C78" s="31" t="str">
        <x:v>property</x:v>
      </x:c>
      <x:c r="D78" s="31" t="str">
        <x:v>PROC.BankAccount.account_no_masked</x:v>
      </x:c>
      <x:c r="E78" s="31" t="str">
        <x:v>银行账号脱敏</x:v>
      </x:c>
      <x:c r="F78" s="31" t="str">
        <x:v>PROC.BankAccount</x:v>
      </x:c>
      <x:c r="G78" s="31" t="str"/>
      <x:c r="H78" s="31" t="str">
        <x:v>文本</x:v>
      </x:c>
      <x:c r="I78" s="31" t="str">
        <x:v>主标识</x:v>
      </x:c>
      <x:c r="J78" s="31" t="str">
        <x:v>脱敏银行账号。</x:v>
      </x:c>
    </x:row>
    <x:row r="79">
      <x:c r="A79" s="31" t="str">
        <x:v>EL-DEMO-075</x:v>
      </x:c>
      <x:c r="B79" s="31" t="str">
        <x:v>ONT-PROC-DEMO</x:v>
      </x:c>
      <x:c r="C79" s="31" t="str">
        <x:v>property</x:v>
      </x:c>
      <x:c r="D79" s="31" t="str">
        <x:v>PROC.Contact.phone_masked</x:v>
      </x:c>
      <x:c r="E79" s="31" t="str">
        <x:v>联系电话脱敏</x:v>
      </x:c>
      <x:c r="F79" s="31" t="str">
        <x:v>PROC.Contact</x:v>
      </x:c>
      <x:c r="G79" s="31" t="str"/>
      <x:c r="H79" s="31" t="str">
        <x:v>文本</x:v>
      </x:c>
      <x:c r="I79" s="31" t="str">
        <x:v>可空</x:v>
      </x:c>
      <x:c r="J79" s="31" t="str">
        <x:v>脱敏联系电话。</x:v>
      </x:c>
    </x:row>
    <x:row r="80">
      <x:c r="A80" s="31" t="str">
        <x:v>EL-DEMO-076</x:v>
      </x:c>
      <x:c r="B80" s="31" t="str">
        <x:v>ONT-PROC-DEMO</x:v>
      </x:c>
      <x:c r="C80" s="31" t="str">
        <x:v>property</x:v>
      </x:c>
      <x:c r="D80" s="31" t="str">
        <x:v>PROC.Address.address_text</x:v>
      </x:c>
      <x:c r="E80" s="31" t="str">
        <x:v>地址文本</x:v>
      </x:c>
      <x:c r="F80" s="31" t="str">
        <x:v>PROC.Address</x:v>
      </x:c>
      <x:c r="G80" s="31" t="str"/>
      <x:c r="H80" s="31" t="str">
        <x:v>文本</x:v>
      </x:c>
      <x:c r="I80" s="31" t="str">
        <x:v>可空</x:v>
      </x:c>
      <x:c r="J80" s="31" t="str">
        <x:v>工商或办公地址。</x:v>
      </x:c>
    </x:row>
    <x:row r="81">
      <x:c r="A81" s="31" t="str">
        <x:v>EL-DEMO-077</x:v>
      </x:c>
      <x:c r="B81" s="31" t="str">
        <x:v>ONT-PROC-DEMO</x:v>
      </x:c>
      <x:c r="C81" s="31" t="str">
        <x:v>property</x:v>
      </x:c>
      <x:c r="D81" s="31" t="str">
        <x:v>PROC.IPAddress.ip_masked</x:v>
      </x:c>
      <x:c r="E81" s="31" t="str">
        <x:v>IP地址脱敏</x:v>
      </x:c>
      <x:c r="F81" s="31" t="str">
        <x:v>PROC.IPAddress</x:v>
      </x:c>
      <x:c r="G81" s="31" t="str"/>
      <x:c r="H81" s="31" t="str">
        <x:v>文本</x:v>
      </x:c>
      <x:c r="I81" s="31" t="str">
        <x:v>主标识</x:v>
      </x:c>
      <x:c r="J81" s="31" t="str">
        <x:v>脱敏IPv4/IPv6地址。</x:v>
      </x:c>
    </x:row>
    <x:row r="82">
      <x:c r="A82" s="31" t="str">
        <x:v>EL-DEMO-078</x:v>
      </x:c>
      <x:c r="B82" s="31" t="str">
        <x:v>ONT-PROC-DEMO</x:v>
      </x:c>
      <x:c r="C82" s="31" t="str">
        <x:v>property</x:v>
      </x:c>
      <x:c r="D82" s="31" t="str">
        <x:v>PROC.Device.device_fingerprint</x:v>
      </x:c>
      <x:c r="E82" s="31" t="str">
        <x:v>设备指纹</x:v>
      </x:c>
      <x:c r="F82" s="31" t="str">
        <x:v>PROC.Device</x:v>
      </x:c>
      <x:c r="G82" s="31" t="str"/>
      <x:c r="H82" s="31" t="str">
        <x:v>文本</x:v>
      </x:c>
      <x:c r="I82" s="31" t="str">
        <x:v>主标识</x:v>
      </x:c>
      <x:c r="J82" s="31" t="str">
        <x:v>终端设备指纹。</x:v>
      </x:c>
    </x:row>
    <x:row r="83">
      <x:c r="A83" s="31" t="str">
        <x:v>EL-DEMO-079</x:v>
      </x:c>
      <x:c r="B83" s="31" t="str">
        <x:v>ONT-PROC-DEMO</x:v>
      </x:c>
      <x:c r="C83" s="31" t="str">
        <x:v>property</x:v>
      </x:c>
      <x:c r="D83" s="31" t="str">
        <x:v>PROC.RiskWarning.risk_score</x:v>
      </x:c>
      <x:c r="E83" s="31" t="str">
        <x:v>风险分值</x:v>
      </x:c>
      <x:c r="F83" s="31" t="str">
        <x:v>PROC.RiskWarning</x:v>
      </x:c>
      <x:c r="G83" s="31" t="str"/>
      <x:c r="H83" s="31" t="str">
        <x:v>整数</x:v>
      </x:c>
      <x:c r="I83" s="31" t="str">
        <x:v>0到100</x:v>
      </x:c>
      <x:c r="J83" s="31" t="str">
        <x:v>预警综合风险分值。</x:v>
      </x:c>
    </x:row>
    <x:row r="84">
      <x:c r="A84" s="31" t="str">
        <x:v>EL-DEMO-080</x:v>
      </x:c>
      <x:c r="B84" s="31" t="str">
        <x:v>ONT-PROC-DEMO</x:v>
      </x:c>
      <x:c r="C84" s="31" t="str">
        <x:v>property</x:v>
      </x:c>
      <x:c r="D84" s="31" t="str">
        <x:v>PROC.RiskWarning.stage</x:v>
      </x:c>
      <x:c r="E84" s="31" t="str">
        <x:v>风险阶段</x:v>
      </x:c>
      <x:c r="F84" s="31" t="str">
        <x:v>PROC.RiskWarning</x:v>
      </x:c>
      <x:c r="G84" s="31" t="str"/>
      <x:c r="H84" s="31" t="str">
        <x:v>枚举</x:v>
      </x:c>
      <x:c r="I84" s="31" t="str">
        <x:v>事前/事中/事后</x:v>
      </x:c>
      <x:c r="J84" s="31" t="str">
        <x:v>风险所在采购生命周期阶段。</x:v>
      </x:c>
    </x:row>
    <x:row r="85">
      <x:c r="A85" s="31" t="str">
        <x:v>EL-DEMO-081</x:v>
      </x:c>
      <x:c r="B85" s="31" t="str">
        <x:v>ONT-PROC-DEMO</x:v>
      </x:c>
      <x:c r="C85" s="31" t="str">
        <x:v>relation</x:v>
      </x:c>
      <x:c r="D85" s="31" t="str">
        <x:v>PROC.hasDepartment</x:v>
      </x:c>
      <x:c r="E85" s="31" t="str">
        <x:v>下设部门</x:v>
      </x:c>
      <x:c r="F85" s="31" t="str">
        <x:v>PROC.Organization</x:v>
      </x:c>
      <x:c r="G85" s="31" t="str">
        <x:v>PROC.Organization</x:v>
      </x:c>
      <x:c r="H85" s="31" t="str">
        <x:v>PROC.Organization → PROC.Organization</x:v>
      </x:c>
      <x:c r="I85" s="31" t="str">
        <x:v>一对多</x:v>
      </x:c>
      <x:c r="J85" s="31" t="str">
        <x:v>集团组织下设事业部、中心、仓储等组织单元。</x:v>
      </x:c>
    </x:row>
    <x:row r="86">
      <x:c r="A86" s="31" t="str">
        <x:v>EL-DEMO-082</x:v>
      </x:c>
      <x:c r="B86" s="31" t="str">
        <x:v>ONT-PROC-DEMO</x:v>
      </x:c>
      <x:c r="C86" s="31" t="str">
        <x:v>relation</x:v>
      </x:c>
      <x:c r="D86" s="31" t="str">
        <x:v>PROC.employs</x:v>
      </x:c>
      <x:c r="E86" s="31" t="str">
        <x:v>任职于</x:v>
      </x:c>
      <x:c r="F86" s="31" t="str">
        <x:v>PROC.Organization</x:v>
      </x:c>
      <x:c r="G86" s="31" t="str">
        <x:v>PROC.Person</x:v>
      </x:c>
      <x:c r="H86" s="31" t="str">
        <x:v>PROC.Organization → PROC.Person</x:v>
      </x:c>
      <x:c r="I86" s="31" t="str">
        <x:v>一对多</x:v>
      </x:c>
      <x:c r="J86" s="31" t="str">
        <x:v>组织与人员任职关系。</x:v>
      </x:c>
    </x:row>
    <x:row r="87">
      <x:c r="A87" s="31" t="str">
        <x:v>EL-DEMO-083</x:v>
      </x:c>
      <x:c r="B87" s="31" t="str">
        <x:v>ONT-PROC-DEMO</x:v>
      </x:c>
      <x:c r="C87" s="31" t="str">
        <x:v>relation</x:v>
      </x:c>
      <x:c r="D87" s="31" t="str">
        <x:v>PROC.initiatesDemand</x:v>
      </x:c>
      <x:c r="E87" s="31" t="str">
        <x:v>发起需求</x:v>
      </x:c>
      <x:c r="F87" s="31" t="str">
        <x:v>PROC.Organization</x:v>
      </x:c>
      <x:c r="G87" s="31" t="str">
        <x:v>PROC.ProcurementDemand</x:v>
      </x:c>
      <x:c r="H87" s="31" t="str">
        <x:v>PROC.Organization → PROC.ProcurementDemand</x:v>
      </x:c>
      <x:c r="I87" s="31" t="str">
        <x:v>一对多</x:v>
      </x:c>
      <x:c r="J87" s="31" t="str">
        <x:v>组织发起采购需求。</x:v>
      </x:c>
    </x:row>
    <x:row r="88">
      <x:c r="A88" s="31" t="str">
        <x:v>EL-DEMO-084</x:v>
      </x:c>
      <x:c r="B88" s="31" t="str">
        <x:v>ONT-PROC-DEMO</x:v>
      </x:c>
      <x:c r="C88" s="31" t="str">
        <x:v>relation</x:v>
      </x:c>
      <x:c r="D88" s="31" t="str">
        <x:v>PROC.demandFormsPlan</x:v>
      </x:c>
      <x:c r="E88" s="31" t="str">
        <x:v>形成方案</x:v>
      </x:c>
      <x:c r="F88" s="31" t="str">
        <x:v>PROC.ProcurementDemand</x:v>
      </x:c>
      <x:c r="G88" s="31" t="str">
        <x:v>PROC.ProcurementPlan</x:v>
      </x:c>
      <x:c r="H88" s="31" t="str">
        <x:v>PROC.ProcurementDemand → PROC.ProcurementPlan</x:v>
      </x:c>
      <x:c r="I88" s="31" t="str">
        <x:v>一对多</x:v>
      </x:c>
      <x:c r="J88" s="31" t="str">
        <x:v>需求形成采购方案。</x:v>
      </x:c>
    </x:row>
    <x:row r="89">
      <x:c r="A89" s="31" t="str">
        <x:v>EL-DEMO-085</x:v>
      </x:c>
      <x:c r="B89" s="31" t="str">
        <x:v>ONT-PROC-DEMO</x:v>
      </x:c>
      <x:c r="C89" s="31" t="str">
        <x:v>relation</x:v>
      </x:c>
      <x:c r="D89" s="31" t="str">
        <x:v>PROC.planCreatesProject</x:v>
      </x:c>
      <x:c r="E89" s="31" t="str">
        <x:v>创建项目</x:v>
      </x:c>
      <x:c r="F89" s="31" t="str">
        <x:v>PROC.ProcurementPlan</x:v>
      </x:c>
      <x:c r="G89" s="31" t="str">
        <x:v>PROC.PurchaseProject</x:v>
      </x:c>
      <x:c r="H89" s="31" t="str">
        <x:v>PROC.ProcurementPlan → PROC.PurchaseProject</x:v>
      </x:c>
      <x:c r="I89" s="31" t="str">
        <x:v>一对多</x:v>
      </x:c>
      <x:c r="J89" s="31" t="str">
        <x:v>采购方案创建项目。</x:v>
      </x:c>
    </x:row>
    <x:row r="90">
      <x:c r="A90" s="31" t="str">
        <x:v>EL-DEMO-086</x:v>
      </x:c>
      <x:c r="B90" s="31" t="str">
        <x:v>ONT-PROC-DEMO</x:v>
      </x:c>
      <x:c r="C90" s="31" t="str">
        <x:v>relation</x:v>
      </x:c>
      <x:c r="D90" s="31" t="str">
        <x:v>PROC.projectApprovedByBudget</x:v>
      </x:c>
      <x:c r="E90" s="31" t="str">
        <x:v>预算批复</x:v>
      </x:c>
      <x:c r="F90" s="31" t="str">
        <x:v>PROC.PurchaseProject</x:v>
      </x:c>
      <x:c r="G90" s="31" t="str">
        <x:v>PROC.BudgetApproval</x:v>
      </x:c>
      <x:c r="H90" s="31" t="str">
        <x:v>PROC.PurchaseProject → PROC.BudgetApproval</x:v>
      </x:c>
      <x:c r="I90" s="31" t="str">
        <x:v>多对一</x:v>
      </x:c>
      <x:c r="J90" s="31" t="str">
        <x:v>项目关联预算批复。</x:v>
      </x:c>
    </x:row>
    <x:row r="91">
      <x:c r="A91" s="31" t="str">
        <x:v>EL-DEMO-087</x:v>
      </x:c>
      <x:c r="B91" s="31" t="str">
        <x:v>ONT-PROC-DEMO</x:v>
      </x:c>
      <x:c r="C91" s="31" t="str">
        <x:v>relation</x:v>
      </x:c>
      <x:c r="D91" s="31" t="str">
        <x:v>PROC.splitFromDemand</x:v>
      </x:c>
      <x:c r="E91" s="31" t="str">
        <x:v>拆分自需求</x:v>
      </x:c>
      <x:c r="F91" s="31" t="str">
        <x:v>PROC.PurchaseProject</x:v>
      </x:c>
      <x:c r="G91" s="31" t="str">
        <x:v>PROC.ProcurementDemand</x:v>
      </x:c>
      <x:c r="H91" s="31" t="str">
        <x:v>PROC.PurchaseProject → PROC.ProcurementDemand</x:v>
      </x:c>
      <x:c r="I91" s="31" t="str">
        <x:v>多对一</x:v>
      </x:c>
      <x:c r="J91" s="31" t="str">
        <x:v>项目从同一需求拆分。</x:v>
      </x:c>
    </x:row>
    <x:row r="92">
      <x:c r="A92" s="31" t="str">
        <x:v>EL-DEMO-088</x:v>
      </x:c>
      <x:c r="B92" s="31" t="str">
        <x:v>ONT-PROC-DEMO</x:v>
      </x:c>
      <x:c r="C92" s="31" t="str">
        <x:v>relation</x:v>
      </x:c>
      <x:c r="D92" s="31" t="str">
        <x:v>PROC.projectHasAnnouncement</x:v>
      </x:c>
      <x:c r="E92" s="31" t="str">
        <x:v>发布公告</x:v>
      </x:c>
      <x:c r="F92" s="31" t="str">
        <x:v>PROC.PurchaseProject</x:v>
      </x:c>
      <x:c r="G92" s="31" t="str">
        <x:v>PROC.TenderAnnouncement</x:v>
      </x:c>
      <x:c r="H92" s="31" t="str">
        <x:v>PROC.PurchaseProject → PROC.TenderAnnouncement</x:v>
      </x:c>
      <x:c r="I92" s="31" t="str">
        <x:v>一对多</x:v>
      </x:c>
      <x:c r="J92" s="31" t="str">
        <x:v>项目发布招标公告。</x:v>
      </x:c>
    </x:row>
    <x:row r="93">
      <x:c r="A93" s="31" t="str">
        <x:v>EL-DEMO-089</x:v>
      </x:c>
      <x:c r="B93" s="31" t="str">
        <x:v>ONT-PROC-DEMO</x:v>
      </x:c>
      <x:c r="C93" s="31" t="str">
        <x:v>relation</x:v>
      </x:c>
      <x:c r="D93" s="31" t="str">
        <x:v>PROC.supplierSubmitsBid</x:v>
      </x:c>
      <x:c r="E93" s="31" t="str">
        <x:v>提交投标</x:v>
      </x:c>
      <x:c r="F93" s="31" t="str">
        <x:v>PROC.Supplier</x:v>
      </x:c>
      <x:c r="G93" s="31" t="str">
        <x:v>PROC.Bid</x:v>
      </x:c>
      <x:c r="H93" s="31" t="str">
        <x:v>PROC.Supplier → PROC.Bid</x:v>
      </x:c>
      <x:c r="I93" s="31" t="str">
        <x:v>一对多</x:v>
      </x:c>
      <x:c r="J93" s="31" t="str">
        <x:v>供应商提交投标。</x:v>
      </x:c>
    </x:row>
    <x:row r="94">
      <x:c r="A94" s="31" t="str">
        <x:v>EL-DEMO-090</x:v>
      </x:c>
      <x:c r="B94" s="31" t="str">
        <x:v>ONT-PROC-DEMO</x:v>
      </x:c>
      <x:c r="C94" s="31" t="str">
        <x:v>relation</x:v>
      </x:c>
      <x:c r="D94" s="31" t="str">
        <x:v>PROC.bidForProject</x:v>
      </x:c>
      <x:c r="E94" s="31" t="str">
        <x:v>投标项目</x:v>
      </x:c>
      <x:c r="F94" s="31" t="str">
        <x:v>PROC.Bid</x:v>
      </x:c>
      <x:c r="G94" s="31" t="str">
        <x:v>PROC.PurchaseProject</x:v>
      </x:c>
      <x:c r="H94" s="31" t="str">
        <x:v>PROC.Bid → PROC.PurchaseProject</x:v>
      </x:c>
      <x:c r="I94" s="31" t="str">
        <x:v>多对一</x:v>
      </x:c>
      <x:c r="J94" s="31" t="str">
        <x:v>投标对应采购项目。</x:v>
      </x:c>
    </x:row>
    <x:row r="95">
      <x:c r="A95" s="31" t="str">
        <x:v>EL-DEMO-091</x:v>
      </x:c>
      <x:c r="B95" s="31" t="str">
        <x:v>ONT-PROC-DEMO</x:v>
      </x:c>
      <x:c r="C95" s="31" t="str">
        <x:v>relation</x:v>
      </x:c>
      <x:c r="D95" s="31" t="str">
        <x:v>PROC.bidHasDocument</x:v>
      </x:c>
      <x:c r="E95" s="31" t="str">
        <x:v>包含文件</x:v>
      </x:c>
      <x:c r="F95" s="31" t="str">
        <x:v>PROC.Bid</x:v>
      </x:c>
      <x:c r="G95" s="31" t="str">
        <x:v>PROC.BidDocument</x:v>
      </x:c>
      <x:c r="H95" s="31" t="str">
        <x:v>PROC.Bid → PROC.BidDocument</x:v>
      </x:c>
      <x:c r="I95" s="31" t="str">
        <x:v>一对多</x:v>
      </x:c>
      <x:c r="J95" s="31" t="str">
        <x:v>投标包含电子文件。</x:v>
      </x:c>
    </x:row>
    <x:row r="96">
      <x:c r="A96" s="31" t="str">
        <x:v>EL-DEMO-092</x:v>
      </x:c>
      <x:c r="B96" s="31" t="str">
        <x:v>ONT-PROC-DEMO</x:v>
      </x:c>
      <x:c r="C96" s="31" t="str">
        <x:v>relation</x:v>
      </x:c>
      <x:c r="D96" s="31" t="str">
        <x:v>PROC.documentUploadedFromIP</x:v>
      </x:c>
      <x:c r="E96" s="31" t="str">
        <x:v>上传自IP</x:v>
      </x:c>
      <x:c r="F96" s="31" t="str">
        <x:v>PROC.BidDocument</x:v>
      </x:c>
      <x:c r="G96" s="31" t="str">
        <x:v>PROC.IPAddress</x:v>
      </x:c>
      <x:c r="H96" s="31" t="str">
        <x:v>PROC.BidDocument → PROC.IPAddress</x:v>
      </x:c>
      <x:c r="I96" s="31" t="str">
        <x:v>多对一</x:v>
      </x:c>
      <x:c r="J96" s="31" t="str">
        <x:v>文件上传IP。</x:v>
      </x:c>
    </x:row>
    <x:row r="97">
      <x:c r="A97" s="31" t="str">
        <x:v>EL-DEMO-093</x:v>
      </x:c>
      <x:c r="B97" s="31" t="str">
        <x:v>ONT-PROC-DEMO</x:v>
      </x:c>
      <x:c r="C97" s="31" t="str">
        <x:v>relation</x:v>
      </x:c>
      <x:c r="D97" s="31" t="str">
        <x:v>PROC.documentCreatedOnDevice</x:v>
      </x:c>
      <x:c r="E97" s="31" t="str">
        <x:v>制作于设备</x:v>
      </x:c>
      <x:c r="F97" s="31" t="str">
        <x:v>PROC.BidDocument</x:v>
      </x:c>
      <x:c r="G97" s="31" t="str">
        <x:v>PROC.Device</x:v>
      </x:c>
      <x:c r="H97" s="31" t="str">
        <x:v>PROC.BidDocument → PROC.Device</x:v>
      </x:c>
      <x:c r="I97" s="31" t="str">
        <x:v>多对一</x:v>
      </x:c>
      <x:c r="J97" s="31" t="str">
        <x:v>文件制作设备。</x:v>
      </x:c>
    </x:row>
    <x:row r="98">
      <x:c r="A98" s="31" t="str">
        <x:v>EL-DEMO-094</x:v>
      </x:c>
      <x:c r="B98" s="31" t="str">
        <x:v>ONT-PROC-DEMO</x:v>
      </x:c>
      <x:c r="C98" s="31" t="str">
        <x:v>relation</x:v>
      </x:c>
      <x:c r="D98" s="31" t="str">
        <x:v>PROC.personControlsSupplier</x:v>
      </x:c>
      <x:c r="E98" s="31" t="str">
        <x:v>实际控制</x:v>
      </x:c>
      <x:c r="F98" s="31" t="str">
        <x:v>PROC.Person</x:v>
      </x:c>
      <x:c r="G98" s="31" t="str">
        <x:v>PROC.Supplier</x:v>
      </x:c>
      <x:c r="H98" s="31" t="str">
        <x:v>PROC.Person → PROC.Supplier</x:v>
      </x:c>
      <x:c r="I98" s="31" t="str">
        <x:v>多对多</x:v>
      </x:c>
      <x:c r="J98" s="31" t="str">
        <x:v>人员对供应商的实际控制关系。</x:v>
      </x:c>
    </x:row>
    <x:row r="99">
      <x:c r="A99" s="31" t="str">
        <x:v>EL-DEMO-095</x:v>
      </x:c>
      <x:c r="B99" s="31" t="str">
        <x:v>ONT-PROC-DEMO</x:v>
      </x:c>
      <x:c r="C99" s="31" t="str">
        <x:v>relation</x:v>
      </x:c>
      <x:c r="D99" s="31" t="str">
        <x:v>PROC.personWorksForSupplier</x:v>
      </x:c>
      <x:c r="E99" s="31" t="str">
        <x:v>任职于供应商</x:v>
      </x:c>
      <x:c r="F99" s="31" t="str">
        <x:v>PROC.Person</x:v>
      </x:c>
      <x:c r="G99" s="31" t="str">
        <x:v>PROC.Supplier</x:v>
      </x:c>
      <x:c r="H99" s="31" t="str">
        <x:v>PROC.Person → PROC.Supplier</x:v>
      </x:c>
      <x:c r="I99" s="31" t="str">
        <x:v>多对多</x:v>
      </x:c>
      <x:c r="J99" s="31" t="str">
        <x:v>人员当前或历史任职关系。</x:v>
      </x:c>
    </x:row>
    <x:row r="100">
      <x:c r="A100" s="31" t="str">
        <x:v>EL-DEMO-096</x:v>
      </x:c>
      <x:c r="B100" s="31" t="str">
        <x:v>ONT-PROC-DEMO</x:v>
      </x:c>
      <x:c r="C100" s="31" t="str">
        <x:v>relation</x:v>
      </x:c>
      <x:c r="D100" s="31" t="str">
        <x:v>PROC.supplierUsesContact</x:v>
      </x:c>
      <x:c r="E100" s="31" t="str">
        <x:v>登记联系方式</x:v>
      </x:c>
      <x:c r="F100" s="31" t="str">
        <x:v>PROC.Supplier</x:v>
      </x:c>
      <x:c r="G100" s="31" t="str">
        <x:v>PROC.Contact</x:v>
      </x:c>
      <x:c r="H100" s="31" t="str">
        <x:v>PROC.Supplier → PROC.Contact</x:v>
      </x:c>
      <x:c r="I100" s="31" t="str">
        <x:v>多对多</x:v>
      </x:c>
      <x:c r="J100" s="31" t="str">
        <x:v>供应商使用的联系方式。</x:v>
      </x:c>
    </x:row>
    <x:row r="101">
      <x:c r="A101" s="31" t="str">
        <x:v>EL-DEMO-097</x:v>
      </x:c>
      <x:c r="B101" s="31" t="str">
        <x:v>ONT-PROC-DEMO</x:v>
      </x:c>
      <x:c r="C101" s="31" t="str">
        <x:v>relation</x:v>
      </x:c>
      <x:c r="D101" s="31" t="str">
        <x:v>PROC.supplierRegisteredAtAddress</x:v>
      </x:c>
      <x:c r="E101" s="31" t="str">
        <x:v>登记地址</x:v>
      </x:c>
      <x:c r="F101" s="31" t="str">
        <x:v>PROC.Supplier</x:v>
      </x:c>
      <x:c r="G101" s="31" t="str">
        <x:v>PROC.Address</x:v>
      </x:c>
      <x:c r="H101" s="31" t="str">
        <x:v>PROC.Supplier → PROC.Address</x:v>
      </x:c>
      <x:c r="I101" s="31" t="str">
        <x:v>多对多</x:v>
      </x:c>
      <x:c r="J101" s="31" t="str">
        <x:v>供应商工商或办公地址。</x:v>
      </x:c>
    </x:row>
    <x:row r="102">
      <x:c r="A102" s="31" t="str">
        <x:v>EL-DEMO-098</x:v>
      </x:c>
      <x:c r="B102" s="31" t="str">
        <x:v>ONT-PROC-DEMO</x:v>
      </x:c>
      <x:c r="C102" s="31" t="str">
        <x:v>relation</x:v>
      </x:c>
      <x:c r="D102" s="31" t="str">
        <x:v>PROC.supplierUsesAccount</x:v>
      </x:c>
      <x:c r="E102" s="31" t="str">
        <x:v>使用账户</x:v>
      </x:c>
      <x:c r="F102" s="31" t="str">
        <x:v>PROC.Supplier</x:v>
      </x:c>
      <x:c r="G102" s="31" t="str">
        <x:v>PROC.BankAccount</x:v>
      </x:c>
      <x:c r="H102" s="31" t="str">
        <x:v>PROC.Supplier → PROC.BankAccount</x:v>
      </x:c>
      <x:c r="I102" s="31" t="str">
        <x:v>多对多</x:v>
      </x:c>
      <x:c r="J102" s="31" t="str">
        <x:v>供应商使用银行账户。</x:v>
      </x:c>
    </x:row>
    <x:row r="103">
      <x:c r="A103" s="31" t="str">
        <x:v>EL-DEMO-099</x:v>
      </x:c>
      <x:c r="B103" s="31" t="str">
        <x:v>ONT-PROC-DEMO</x:v>
      </x:c>
      <x:c r="C103" s="31" t="str">
        <x:v>relation</x:v>
      </x:c>
      <x:c r="D103" s="31" t="str">
        <x:v>PROC.reviewerMemberOfPanel</x:v>
      </x:c>
      <x:c r="E103" s="31" t="str">
        <x:v>参与评审</x:v>
      </x:c>
      <x:c r="F103" s="31" t="str">
        <x:v>PROC.Person</x:v>
      </x:c>
      <x:c r="G103" s="31" t="str">
        <x:v>PROC.ReviewPanel</x:v>
      </x:c>
      <x:c r="H103" s="31" t="str">
        <x:v>PROC.Person → PROC.ReviewPanel</x:v>
      </x:c>
      <x:c r="I103" s="31" t="str">
        <x:v>多对多</x:v>
      </x:c>
      <x:c r="J103" s="31" t="str">
        <x:v>评审人员参与委员会。</x:v>
      </x:c>
    </x:row>
    <x:row r="104">
      <x:c r="A104" s="31" t="str">
        <x:v>EL-DEMO-100</x:v>
      </x:c>
      <x:c r="B104" s="31" t="str">
        <x:v>ONT-PROC-DEMO</x:v>
      </x:c>
      <x:c r="C104" s="31" t="str">
        <x:v>relation</x:v>
      </x:c>
      <x:c r="D104" s="31" t="str">
        <x:v>PROC.panelReviewsProject</x:v>
      </x:c>
      <x:c r="E104" s="31" t="str">
        <x:v>评审项目</x:v>
      </x:c>
      <x:c r="F104" s="31" t="str">
        <x:v>PROC.ReviewPanel</x:v>
      </x:c>
      <x:c r="G104" s="31" t="str">
        <x:v>PROC.PurchaseProject</x:v>
      </x:c>
      <x:c r="H104" s="31" t="str">
        <x:v>PROC.ReviewPanel → PROC.PurchaseProject</x:v>
      </x:c>
      <x:c r="I104" s="31" t="str">
        <x:v>多对一</x:v>
      </x:c>
      <x:c r="J104" s="31" t="str">
        <x:v>委员会评审采购项目。</x:v>
      </x:c>
    </x:row>
    <x:row r="105">
      <x:c r="A105" s="31" t="str">
        <x:v>EL-DEMO-101</x:v>
      </x:c>
      <x:c r="B105" s="31" t="str">
        <x:v>ONT-PROC-DEMO</x:v>
      </x:c>
      <x:c r="C105" s="31" t="str">
        <x:v>relation</x:v>
      </x:c>
      <x:c r="D105" s="31" t="str">
        <x:v>PROC.projectHasAward</x:v>
      </x:c>
      <x:c r="E105" s="31" t="str">
        <x:v>形成中标</x:v>
      </x:c>
      <x:c r="F105" s="31" t="str">
        <x:v>PROC.PurchaseProject</x:v>
      </x:c>
      <x:c r="G105" s="31" t="str">
        <x:v>PROC.Award</x:v>
      </x:c>
      <x:c r="H105" s="31" t="str">
        <x:v>PROC.PurchaseProject → PROC.Award</x:v>
      </x:c>
      <x:c r="I105" s="31" t="str">
        <x:v>一对一</x:v>
      </x:c>
      <x:c r="J105" s="31" t="str">
        <x:v>项目形成中标结果。</x:v>
      </x:c>
    </x:row>
    <x:row r="106">
      <x:c r="A106" s="31" t="str">
        <x:v>EL-DEMO-102</x:v>
      </x:c>
      <x:c r="B106" s="31" t="str">
        <x:v>ONT-PROC-DEMO</x:v>
      </x:c>
      <x:c r="C106" s="31" t="str">
        <x:v>relation</x:v>
      </x:c>
      <x:c r="D106" s="31" t="str">
        <x:v>PROC.awardToSupplier</x:v>
      </x:c>
      <x:c r="E106" s="31" t="str">
        <x:v>中标供应商</x:v>
      </x:c>
      <x:c r="F106" s="31" t="str">
        <x:v>PROC.Award</x:v>
      </x:c>
      <x:c r="G106" s="31" t="str">
        <x:v>PROC.Supplier</x:v>
      </x:c>
      <x:c r="H106" s="31" t="str">
        <x:v>PROC.Award → PROC.Supplier</x:v>
      </x:c>
      <x:c r="I106" s="31" t="str">
        <x:v>多对一</x:v>
      </x:c>
      <x:c r="J106" s="31" t="str">
        <x:v>中标结果指向供应商。</x:v>
      </x:c>
    </x:row>
    <x:row r="107">
      <x:c r="A107" s="31" t="str">
        <x:v>EL-DEMO-103</x:v>
      </x:c>
      <x:c r="B107" s="31" t="str">
        <x:v>ONT-PROC-DEMO</x:v>
      </x:c>
      <x:c r="C107" s="31" t="str">
        <x:v>relation</x:v>
      </x:c>
      <x:c r="D107" s="31" t="str">
        <x:v>PROC.projectGeneratesContract</x:v>
      </x:c>
      <x:c r="E107" s="31" t="str">
        <x:v>生成合同</x:v>
      </x:c>
      <x:c r="F107" s="31" t="str">
        <x:v>PROC.PurchaseProject</x:v>
      </x:c>
      <x:c r="G107" s="31" t="str">
        <x:v>PROC.Contract</x:v>
      </x:c>
      <x:c r="H107" s="31" t="str">
        <x:v>PROC.PurchaseProject → PROC.Contract</x:v>
      </x:c>
      <x:c r="I107" s="31" t="str">
        <x:v>一对多</x:v>
      </x:c>
      <x:c r="J107" s="31" t="str">
        <x:v>采购项目形成合同。</x:v>
      </x:c>
    </x:row>
    <x:row r="108">
      <x:c r="A108" s="31" t="str">
        <x:v>EL-DEMO-104</x:v>
      </x:c>
      <x:c r="B108" s="31" t="str">
        <x:v>ONT-PROC-DEMO</x:v>
      </x:c>
      <x:c r="C108" s="31" t="str">
        <x:v>relation</x:v>
      </x:c>
      <x:c r="D108" s="31" t="str">
        <x:v>PROC.contractWithSupplier</x:v>
      </x:c>
      <x:c r="E108" s="31" t="str">
        <x:v>合同相对方</x:v>
      </x:c>
      <x:c r="F108" s="31" t="str">
        <x:v>PROC.Contract</x:v>
      </x:c>
      <x:c r="G108" s="31" t="str">
        <x:v>PROC.Supplier</x:v>
      </x:c>
      <x:c r="H108" s="31" t="str">
        <x:v>PROC.Contract → PROC.Supplier</x:v>
      </x:c>
      <x:c r="I108" s="31" t="str">
        <x:v>多对一</x:v>
      </x:c>
      <x:c r="J108" s="31" t="str">
        <x:v>合同对应供应商。</x:v>
      </x:c>
    </x:row>
    <x:row r="109">
      <x:c r="A109" s="31" t="str">
        <x:v>EL-DEMO-105</x:v>
      </x:c>
      <x:c r="B109" s="31" t="str">
        <x:v>ONT-PROC-DEMO</x:v>
      </x:c>
      <x:c r="C109" s="31" t="str">
        <x:v>relation</x:v>
      </x:c>
      <x:c r="D109" s="31" t="str">
        <x:v>PROC.contractHasChange</x:v>
      </x:c>
      <x:c r="E109" s="31" t="str">
        <x:v>合同变更</x:v>
      </x:c>
      <x:c r="F109" s="31" t="str">
        <x:v>PROC.Contract</x:v>
      </x:c>
      <x:c r="G109" s="31" t="str">
        <x:v>PROC.ContractChange</x:v>
      </x:c>
      <x:c r="H109" s="31" t="str">
        <x:v>PROC.Contract → PROC.ContractChange</x:v>
      </x:c>
      <x:c r="I109" s="31" t="str">
        <x:v>一对多</x:v>
      </x:c>
      <x:c r="J109" s="31" t="str">
        <x:v>合同产生变更。</x:v>
      </x:c>
    </x:row>
    <x:row r="110">
      <x:c r="A110" s="31" t="str">
        <x:v>EL-DEMO-106</x:v>
      </x:c>
      <x:c r="B110" s="31" t="str">
        <x:v>ONT-PROC-DEMO</x:v>
      </x:c>
      <x:c r="C110" s="31" t="str">
        <x:v>relation</x:v>
      </x:c>
      <x:c r="D110" s="31" t="str">
        <x:v>PROC.contractGeneratesOrder</x:v>
      </x:c>
      <x:c r="E110" s="31" t="str">
        <x:v>下达订单</x:v>
      </x:c>
      <x:c r="F110" s="31" t="str">
        <x:v>PROC.Contract</x:v>
      </x:c>
      <x:c r="G110" s="31" t="str">
        <x:v>PROC.PurchaseOrder</x:v>
      </x:c>
      <x:c r="H110" s="31" t="str">
        <x:v>PROC.Contract → PROC.PurchaseOrder</x:v>
      </x:c>
      <x:c r="I110" s="31" t="str">
        <x:v>一对多</x:v>
      </x:c>
      <x:c r="J110" s="31" t="str">
        <x:v>合同下达订单。</x:v>
      </x:c>
    </x:row>
    <x:row r="111">
      <x:c r="A111" s="31" t="str">
        <x:v>EL-DEMO-107</x:v>
      </x:c>
      <x:c r="B111" s="31" t="str">
        <x:v>ONT-PROC-DEMO</x:v>
      </x:c>
      <x:c r="C111" s="31" t="str">
        <x:v>relation</x:v>
      </x:c>
      <x:c r="D111" s="31" t="str">
        <x:v>PROC.orderHasLogistics</x:v>
      </x:c>
      <x:c r="E111" s="31" t="str">
        <x:v>物流运输</x:v>
      </x:c>
      <x:c r="F111" s="31" t="str">
        <x:v>PROC.PurchaseOrder</x:v>
      </x:c>
      <x:c r="G111" s="31" t="str">
        <x:v>PROC.LogisticsRecord</x:v>
      </x:c>
      <x:c r="H111" s="31" t="str">
        <x:v>PROC.PurchaseOrder → PROC.LogisticsRecord</x:v>
      </x:c>
      <x:c r="I111" s="31" t="str">
        <x:v>一对多</x:v>
      </x:c>
      <x:c r="J111" s="31" t="str">
        <x:v>订单对应物流记录。</x:v>
      </x:c>
    </x:row>
    <x:row r="112">
      <x:c r="A112" s="31" t="str">
        <x:v>EL-DEMO-108</x:v>
      </x:c>
      <x:c r="B112" s="31" t="str">
        <x:v>ONT-PROC-DEMO</x:v>
      </x:c>
      <x:c r="C112" s="31" t="str">
        <x:v>relation</x:v>
      </x:c>
      <x:c r="D112" s="31" t="str">
        <x:v>PROC.orderHasReceipt</x:v>
      </x:c>
      <x:c r="E112" s="31" t="str">
        <x:v>形成收货</x:v>
      </x:c>
      <x:c r="F112" s="31" t="str">
        <x:v>PROC.PurchaseOrder</x:v>
      </x:c>
      <x:c r="G112" s="31" t="str">
        <x:v>PROC.GoodsReceipt</x:v>
      </x:c>
      <x:c r="H112" s="31" t="str">
        <x:v>PROC.PurchaseOrder → PROC.GoodsReceipt</x:v>
      </x:c>
      <x:c r="I112" s="31" t="str">
        <x:v>一对多</x:v>
      </x:c>
      <x:c r="J112" s="31" t="str">
        <x:v>订单形成收货记录。</x:v>
      </x:c>
    </x:row>
    <x:row r="113">
      <x:c r="A113" s="31" t="str">
        <x:v>EL-DEMO-109</x:v>
      </x:c>
      <x:c r="B113" s="31" t="str">
        <x:v>ONT-PROC-DEMO</x:v>
      </x:c>
      <x:c r="C113" s="31" t="str">
        <x:v>relation</x:v>
      </x:c>
      <x:c r="D113" s="31" t="str">
        <x:v>PROC.receiptAtWarehouse</x:v>
      </x:c>
      <x:c r="E113" s="31" t="str">
        <x:v>入库仓库</x:v>
      </x:c>
      <x:c r="F113" s="31" t="str">
        <x:v>PROC.GoodsReceipt</x:v>
      </x:c>
      <x:c r="G113" s="31" t="str">
        <x:v>PROC.Warehouse</x:v>
      </x:c>
      <x:c r="H113" s="31" t="str">
        <x:v>PROC.GoodsReceipt → PROC.Warehouse</x:v>
      </x:c>
      <x:c r="I113" s="31" t="str">
        <x:v>多对一</x:v>
      </x:c>
      <x:c r="J113" s="31" t="str">
        <x:v>收货记录对应仓库。</x:v>
      </x:c>
    </x:row>
    <x:row r="114">
      <x:c r="A114" s="31" t="str">
        <x:v>EL-DEMO-110</x:v>
      </x:c>
      <x:c r="B114" s="31" t="str">
        <x:v>ONT-PROC-DEMO</x:v>
      </x:c>
      <x:c r="C114" s="31" t="str">
        <x:v>relation</x:v>
      </x:c>
      <x:c r="D114" s="31" t="str">
        <x:v>PROC.receiptHasInspection</x:v>
      </x:c>
      <x:c r="E114" s="31" t="str">
        <x:v>形成验收</x:v>
      </x:c>
      <x:c r="F114" s="31" t="str">
        <x:v>PROC.GoodsReceipt</x:v>
      </x:c>
      <x:c r="G114" s="31" t="str">
        <x:v>PROC.InspectionRecord</x:v>
      </x:c>
      <x:c r="H114" s="31" t="str">
        <x:v>PROC.GoodsReceipt → PROC.InspectionRecord</x:v>
      </x:c>
      <x:c r="I114" s="31" t="str">
        <x:v>一对一</x:v>
      </x:c>
      <x:c r="J114" s="31" t="str">
        <x:v>收货形成验收记录。</x:v>
      </x:c>
    </x:row>
    <x:row r="115">
      <x:c r="A115" s="31" t="str">
        <x:v>EL-DEMO-111</x:v>
      </x:c>
      <x:c r="B115" s="31" t="str">
        <x:v>ONT-PROC-DEMO</x:v>
      </x:c>
      <x:c r="C115" s="31" t="str">
        <x:v>relation</x:v>
      </x:c>
      <x:c r="D115" s="31" t="str">
        <x:v>PROC.invoiceForContract</x:v>
      </x:c>
      <x:c r="E115" s="31" t="str">
        <x:v>合同发票</x:v>
      </x:c>
      <x:c r="F115" s="31" t="str">
        <x:v>PROC.Invoice</x:v>
      </x:c>
      <x:c r="G115" s="31" t="str">
        <x:v>PROC.Contract</x:v>
      </x:c>
      <x:c r="H115" s="31" t="str">
        <x:v>PROC.Invoice → PROC.Contract</x:v>
      </x:c>
      <x:c r="I115" s="31" t="str">
        <x:v>多对一</x:v>
      </x:c>
      <x:c r="J115" s="31" t="str">
        <x:v>发票对应合同。</x:v>
      </x:c>
    </x:row>
    <x:row r="116">
      <x:c r="A116" s="31" t="str">
        <x:v>EL-DEMO-112</x:v>
      </x:c>
      <x:c r="B116" s="31" t="str">
        <x:v>ONT-PROC-DEMO</x:v>
      </x:c>
      <x:c r="C116" s="31" t="str">
        <x:v>relation</x:v>
      </x:c>
      <x:c r="D116" s="31" t="str">
        <x:v>PROC.invoiceIssuedBySupplier</x:v>
      </x:c>
      <x:c r="E116" s="31" t="str">
        <x:v>开票供应商</x:v>
      </x:c>
      <x:c r="F116" s="31" t="str">
        <x:v>PROC.Invoice</x:v>
      </x:c>
      <x:c r="G116" s="31" t="str">
        <x:v>PROC.Supplier</x:v>
      </x:c>
      <x:c r="H116" s="31" t="str">
        <x:v>PROC.Invoice → PROC.Supplier</x:v>
      </x:c>
      <x:c r="I116" s="31" t="str">
        <x:v>多对一</x:v>
      </x:c>
      <x:c r="J116" s="31" t="str">
        <x:v>发票由供应商开具。</x:v>
      </x:c>
    </x:row>
    <x:row r="117">
      <x:c r="A117" s="31" t="str">
        <x:v>EL-DEMO-113</x:v>
      </x:c>
      <x:c r="B117" s="31" t="str">
        <x:v>ONT-PROC-DEMO</x:v>
      </x:c>
      <x:c r="C117" s="31" t="str">
        <x:v>relation</x:v>
      </x:c>
      <x:c r="D117" s="31" t="str">
        <x:v>PROC.paymentPaysInvoice</x:v>
      </x:c>
      <x:c r="E117" s="31" t="str">
        <x:v>支付发票</x:v>
      </x:c>
      <x:c r="F117" s="31" t="str">
        <x:v>PROC.Payment</x:v>
      </x:c>
      <x:c r="G117" s="31" t="str">
        <x:v>PROC.Invoice</x:v>
      </x:c>
      <x:c r="H117" s="31" t="str">
        <x:v>PROC.Payment → PROC.Invoice</x:v>
      </x:c>
      <x:c r="I117" s="31" t="str">
        <x:v>多对一</x:v>
      </x:c>
      <x:c r="J117" s="31" t="str">
        <x:v>付款对应发票。</x:v>
      </x:c>
    </x:row>
    <x:row r="118">
      <x:c r="A118" s="31" t="str">
        <x:v>EL-DEMO-114</x:v>
      </x:c>
      <x:c r="B118" s="31" t="str">
        <x:v>ONT-PROC-DEMO</x:v>
      </x:c>
      <x:c r="C118" s="31" t="str">
        <x:v>relation</x:v>
      </x:c>
      <x:c r="D118" s="31" t="str">
        <x:v>PROC.paymentToAccount</x:v>
      </x:c>
      <x:c r="E118" s="31" t="str">
        <x:v>支付账户</x:v>
      </x:c>
      <x:c r="F118" s="31" t="str">
        <x:v>PROC.Payment</x:v>
      </x:c>
      <x:c r="G118" s="31" t="str">
        <x:v>PROC.BankAccount</x:v>
      </x:c>
      <x:c r="H118" s="31" t="str">
        <x:v>PROC.Payment → PROC.BankAccount</x:v>
      </x:c>
      <x:c r="I118" s="31" t="str">
        <x:v>多对一</x:v>
      </x:c>
      <x:c r="J118" s="31" t="str">
        <x:v>付款进入收款账户。</x:v>
      </x:c>
    </x:row>
    <x:row r="119">
      <x:c r="A119" s="31" t="str">
        <x:v>EL-DEMO-115</x:v>
      </x:c>
      <x:c r="B119" s="31" t="str">
        <x:v>ONT-PROC-DEMO</x:v>
      </x:c>
      <x:c r="C119" s="31" t="str">
        <x:v>relation</x:v>
      </x:c>
      <x:c r="D119" s="31" t="str">
        <x:v>PROC.accountOwnedBy</x:v>
      </x:c>
      <x:c r="E119" s="31" t="str">
        <x:v>账户归属</x:v>
      </x:c>
      <x:c r="F119" s="31" t="str">
        <x:v>PROC.BankAccount</x:v>
      </x:c>
      <x:c r="G119" s="31" t="str">
        <x:v>PROC.Supplier</x:v>
      </x:c>
      <x:c r="H119" s="31" t="str">
        <x:v>PROC.BankAccount → PROC.Supplier</x:v>
      </x:c>
      <x:c r="I119" s="31" t="str">
        <x:v>多对一</x:v>
      </x:c>
      <x:c r="J119" s="31" t="str">
        <x:v>银行账户归属主体。</x:v>
      </x:c>
    </x:row>
    <x:row r="120">
      <x:c r="A120" s="31" t="str">
        <x:v>EL-DEMO-116</x:v>
      </x:c>
      <x:c r="B120" s="31" t="str">
        <x:v>ONT-PROC-DEMO</x:v>
      </x:c>
      <x:c r="C120" s="31" t="str">
        <x:v>relation</x:v>
      </x:c>
      <x:c r="D120" s="31" t="str">
        <x:v>PROC.fundsTransferredTo</x:v>
      </x:c>
      <x:c r="E120" s="31" t="str">
        <x:v>资金流向</x:v>
      </x:c>
      <x:c r="F120" s="31" t="str">
        <x:v>PROC.BankAccount</x:v>
      </x:c>
      <x:c r="G120" s="31" t="str">
        <x:v>PROC.BankAccount</x:v>
      </x:c>
      <x:c r="H120" s="31" t="str">
        <x:v>PROC.BankAccount → PROC.BankAccount</x:v>
      </x:c>
      <x:c r="I120" s="31" t="str">
        <x:v>多对多</x:v>
      </x:c>
      <x:c r="J120" s="31" t="str">
        <x:v>账户间后续资金转移。</x:v>
      </x:c>
    </x:row>
    <x:row r="121">
      <x:c r="A121" s="31" t="str">
        <x:v>EL-DEMO-117</x:v>
      </x:c>
      <x:c r="B121" s="31" t="str">
        <x:v>ONT-PROC-DEMO</x:v>
      </x:c>
      <x:c r="C121" s="31" t="str">
        <x:v>relation</x:v>
      </x:c>
      <x:c r="D121" s="31" t="str">
        <x:v>PROC.warningForObject</x:v>
      </x:c>
      <x:c r="E121" s="31" t="str">
        <x:v>预警对象</x:v>
      </x:c>
      <x:c r="F121" s="31" t="str">
        <x:v>PROC.RiskWarning</x:v>
      </x:c>
      <x:c r="G121" s="31" t="str">
        <x:v>PROC.PurchaseProject</x:v>
      </x:c>
      <x:c r="H121" s="31" t="str">
        <x:v>PROC.RiskWarning → PROC.PurchaseProject</x:v>
      </x:c>
      <x:c r="I121" s="31" t="str">
        <x:v>多对一</x:v>
      </x:c>
      <x:c r="J121" s="31" t="str">
        <x:v>预警关联采购对象。</x:v>
      </x:c>
    </x:row>
    <x:row r="122">
      <x:c r="A122" s="31" t="str">
        <x:v>EL-DEMO-118</x:v>
      </x:c>
      <x:c r="B122" s="31" t="str">
        <x:v>ONT-PROC-DEMO</x:v>
      </x:c>
      <x:c r="C122" s="31" t="str">
        <x:v>event</x:v>
      </x:c>
      <x:c r="D122" s="31" t="str">
        <x:v>PROC.DemandCreated</x:v>
      </x:c>
      <x:c r="E122" s="31" t="str">
        <x:v>采购需求创建</x:v>
      </x:c>
      <x:c r="F122" s="31" t="str">
        <x:v>PROC.ProcurementDemand</x:v>
      </x:c>
      <x:c r="G122" s="31" t="str"/>
      <x:c r="H122" s="31" t="str">
        <x:v>业务事件</x:v>
      </x:c>
      <x:c r="I122" s="31" t="str">
        <x:v>起始事件</x:v>
      </x:c>
      <x:c r="J122" s="31" t="str">
        <x:v>采购需求正式创建。</x:v>
      </x:c>
    </x:row>
    <x:row r="123">
      <x:c r="A123" s="31" t="str">
        <x:v>EL-DEMO-119</x:v>
      </x:c>
      <x:c r="B123" s="31" t="str">
        <x:v>ONT-PROC-DEMO</x:v>
      </x:c>
      <x:c r="C123" s="31" t="str">
        <x:v>event</x:v>
      </x:c>
      <x:c r="D123" s="31" t="str">
        <x:v>PROC.BudgetApproved</x:v>
      </x:c>
      <x:c r="E123" s="31" t="str">
        <x:v>预算批复</x:v>
      </x:c>
      <x:c r="F123" s="31" t="str">
        <x:v>PROC.BudgetApproval</x:v>
      </x:c>
      <x:c r="G123" s="31" t="str"/>
      <x:c r="H123" s="31" t="str">
        <x:v>业务事件</x:v>
      </x:c>
      <x:c r="I123" s="31" t="str">
        <x:v>前置事件</x:v>
      </x:c>
      <x:c r="J123" s="31" t="str">
        <x:v>预算审批通过。</x:v>
      </x:c>
    </x:row>
    <x:row r="124">
      <x:c r="A124" s="31" t="str">
        <x:v>EL-DEMO-120</x:v>
      </x:c>
      <x:c r="B124" s="31" t="str">
        <x:v>ONT-PROC-DEMO</x:v>
      </x:c>
      <x:c r="C124" s="31" t="str">
        <x:v>event</x:v>
      </x:c>
      <x:c r="D124" s="31" t="str">
        <x:v>PROC.PlanApproved</x:v>
      </x:c>
      <x:c r="E124" s="31" t="str">
        <x:v>采购方案审批</x:v>
      </x:c>
      <x:c r="F124" s="31" t="str">
        <x:v>PROC.ProcurementPlan</x:v>
      </x:c>
      <x:c r="G124" s="31" t="str"/>
      <x:c r="H124" s="31" t="str">
        <x:v>业务事件</x:v>
      </x:c>
      <x:c r="I124" s="31" t="str">
        <x:v>前置事件</x:v>
      </x:c>
      <x:c r="J124" s="31" t="str">
        <x:v>采购方案审批完成。</x:v>
      </x:c>
    </x:row>
    <x:row r="125">
      <x:c r="A125" s="31" t="str">
        <x:v>EL-DEMO-121</x:v>
      </x:c>
      <x:c r="B125" s="31" t="str">
        <x:v>ONT-PROC-DEMO</x:v>
      </x:c>
      <x:c r="C125" s="31" t="str">
        <x:v>event</x:v>
      </x:c>
      <x:c r="D125" s="31" t="str">
        <x:v>PROC.ProcurementMethodChosen</x:v>
      </x:c>
      <x:c r="E125" s="31" t="str">
        <x:v>采购方式确定</x:v>
      </x:c>
      <x:c r="F125" s="31" t="str">
        <x:v>PROC.ProcurementPlan</x:v>
      </x:c>
      <x:c r="G125" s="31" t="str"/>
      <x:c r="H125" s="31" t="str">
        <x:v>业务事件</x:v>
      </x:c>
      <x:c r="I125" s="31" t="str">
        <x:v>目标事件</x:v>
      </x:c>
      <x:c r="J125" s="31" t="str">
        <x:v>采购方式确定。</x:v>
      </x:c>
    </x:row>
    <x:row r="126">
      <x:c r="A126" s="31" t="str">
        <x:v>EL-DEMO-122</x:v>
      </x:c>
      <x:c r="B126" s="31" t="str">
        <x:v>ONT-PROC-DEMO</x:v>
      </x:c>
      <x:c r="C126" s="31" t="str">
        <x:v>event</x:v>
      </x:c>
      <x:c r="D126" s="31" t="str">
        <x:v>PROC.TenderPublished</x:v>
      </x:c>
      <x:c r="E126" s="31" t="str">
        <x:v>招标公告发布</x:v>
      </x:c>
      <x:c r="F126" s="31" t="str">
        <x:v>PROC.TenderAnnouncement</x:v>
      </x:c>
      <x:c r="G126" s="31" t="str"/>
      <x:c r="H126" s="31" t="str">
        <x:v>业务事件</x:v>
      </x:c>
      <x:c r="I126" s="31" t="str">
        <x:v>目标事件</x:v>
      </x:c>
      <x:c r="J126" s="31" t="str">
        <x:v>招标公告发布。</x:v>
      </x:c>
    </x:row>
    <x:row r="127">
      <x:c r="A127" s="31" t="str">
        <x:v>EL-DEMO-123</x:v>
      </x:c>
      <x:c r="B127" s="31" t="str">
        <x:v>ONT-PROC-DEMO</x:v>
      </x:c>
      <x:c r="C127" s="31" t="str">
        <x:v>event</x:v>
      </x:c>
      <x:c r="D127" s="31" t="str">
        <x:v>PROC.BidSubmitted</x:v>
      </x:c>
      <x:c r="E127" s="31" t="str">
        <x:v>投标提交</x:v>
      </x:c>
      <x:c r="F127" s="31" t="str">
        <x:v>PROC.Bid</x:v>
      </x:c>
      <x:c r="G127" s="31" t="str"/>
      <x:c r="H127" s="31" t="str">
        <x:v>业务事件</x:v>
      </x:c>
      <x:c r="I127" s="31" t="str">
        <x:v>目标事件</x:v>
      </x:c>
      <x:c r="J127" s="31" t="str">
        <x:v>投标文件提交。</x:v>
      </x:c>
    </x:row>
    <x:row r="128">
      <x:c r="A128" s="31" t="str">
        <x:v>EL-DEMO-124</x:v>
      </x:c>
      <x:c r="B128" s="31" t="str">
        <x:v>ONT-PROC-DEMO</x:v>
      </x:c>
      <x:c r="C128" s="31" t="str">
        <x:v>event</x:v>
      </x:c>
      <x:c r="D128" s="31" t="str">
        <x:v>PROC.BidOpened</x:v>
      </x:c>
      <x:c r="E128" s="31" t="str">
        <x:v>开标</x:v>
      </x:c>
      <x:c r="F128" s="31" t="str">
        <x:v>PROC.PurchaseProject</x:v>
      </x:c>
      <x:c r="G128" s="31" t="str"/>
      <x:c r="H128" s="31" t="str">
        <x:v>业务事件</x:v>
      </x:c>
      <x:c r="I128" s="31" t="str">
        <x:v>目标事件</x:v>
      </x:c>
      <x:c r="J128" s="31" t="str">
        <x:v>项目开标。</x:v>
      </x:c>
    </x:row>
    <x:row r="129">
      <x:c r="A129" s="31" t="str">
        <x:v>EL-DEMO-125</x:v>
      </x:c>
      <x:c r="B129" s="31" t="str">
        <x:v>ONT-PROC-DEMO</x:v>
      </x:c>
      <x:c r="C129" s="31" t="str">
        <x:v>event</x:v>
      </x:c>
      <x:c r="D129" s="31" t="str">
        <x:v>PROC.PanelSelected</x:v>
      </x:c>
      <x:c r="E129" s="31" t="str">
        <x:v>专家抽取</x:v>
      </x:c>
      <x:c r="F129" s="31" t="str">
        <x:v>PROC.ReviewPanel</x:v>
      </x:c>
      <x:c r="G129" s="31" t="str"/>
      <x:c r="H129" s="31" t="str">
        <x:v>业务事件</x:v>
      </x:c>
      <x:c r="I129" s="31" t="str">
        <x:v>前置事件</x:v>
      </x:c>
      <x:c r="J129" s="31" t="str">
        <x:v>评审专家产生。</x:v>
      </x:c>
    </x:row>
    <x:row r="130">
      <x:c r="A130" s="31" t="str">
        <x:v>EL-DEMO-126</x:v>
      </x:c>
      <x:c r="B130" s="31" t="str">
        <x:v>ONT-PROC-DEMO</x:v>
      </x:c>
      <x:c r="C130" s="31" t="str">
        <x:v>event</x:v>
      </x:c>
      <x:c r="D130" s="31" t="str">
        <x:v>PROC.EvaluationCompleted</x:v>
      </x:c>
      <x:c r="E130" s="31" t="str">
        <x:v>评审完成</x:v>
      </x:c>
      <x:c r="F130" s="31" t="str">
        <x:v>PROC.ReviewPanel</x:v>
      </x:c>
      <x:c r="G130" s="31" t="str"/>
      <x:c r="H130" s="31" t="str">
        <x:v>业务事件</x:v>
      </x:c>
      <x:c r="I130" s="31" t="str">
        <x:v>目标事件</x:v>
      </x:c>
      <x:c r="J130" s="31" t="str">
        <x:v>评审完成。</x:v>
      </x:c>
    </x:row>
    <x:row r="131">
      <x:c r="A131" s="31" t="str">
        <x:v>EL-DEMO-127</x:v>
      </x:c>
      <x:c r="B131" s="31" t="str">
        <x:v>ONT-PROC-DEMO</x:v>
      </x:c>
      <x:c r="C131" s="31" t="str">
        <x:v>event</x:v>
      </x:c>
      <x:c r="D131" s="31" t="str">
        <x:v>PROC.BidConfirmed</x:v>
      </x:c>
      <x:c r="E131" s="31" t="str">
        <x:v>中标确认</x:v>
      </x:c>
      <x:c r="F131" s="31" t="str">
        <x:v>PROC.Award</x:v>
      </x:c>
      <x:c r="G131" s="31" t="str"/>
      <x:c r="H131" s="31" t="str">
        <x:v>业务事件</x:v>
      </x:c>
      <x:c r="I131" s="31" t="str">
        <x:v>目标事件</x:v>
      </x:c>
      <x:c r="J131" s="31" t="str">
        <x:v>中标结果确认。</x:v>
      </x:c>
    </x:row>
    <x:row r="132">
      <x:c r="A132" s="31" t="str">
        <x:v>EL-DEMO-128</x:v>
      </x:c>
      <x:c r="B132" s="31" t="str">
        <x:v>ONT-PROC-DEMO</x:v>
      </x:c>
      <x:c r="C132" s="31" t="str">
        <x:v>event</x:v>
      </x:c>
      <x:c r="D132" s="31" t="str">
        <x:v>PROC.ContractSigned</x:v>
      </x:c>
      <x:c r="E132" s="31" t="str">
        <x:v>合同签订</x:v>
      </x:c>
      <x:c r="F132" s="31" t="str">
        <x:v>PROC.Contract</x:v>
      </x:c>
      <x:c r="G132" s="31" t="str"/>
      <x:c r="H132" s="31" t="str">
        <x:v>业务事件</x:v>
      </x:c>
      <x:c r="I132" s="31" t="str">
        <x:v>目标事件</x:v>
      </x:c>
      <x:c r="J132" s="31" t="str">
        <x:v>采购合同签订。</x:v>
      </x:c>
    </x:row>
    <x:row r="133">
      <x:c r="A133" s="31" t="str">
        <x:v>EL-DEMO-129</x:v>
      </x:c>
      <x:c r="B133" s="31" t="str">
        <x:v>ONT-PROC-DEMO</x:v>
      </x:c>
      <x:c r="C133" s="31" t="str">
        <x:v>event</x:v>
      </x:c>
      <x:c r="D133" s="31" t="str">
        <x:v>PROC.ContractChanged</x:v>
      </x:c>
      <x:c r="E133" s="31" t="str">
        <x:v>合同变更</x:v>
      </x:c>
      <x:c r="F133" s="31" t="str">
        <x:v>PROC.ContractChange</x:v>
      </x:c>
      <x:c r="G133" s="31" t="str"/>
      <x:c r="H133" s="31" t="str">
        <x:v>业务事件</x:v>
      </x:c>
      <x:c r="I133" s="31" t="str">
        <x:v>目标事件</x:v>
      </x:c>
      <x:c r="J133" s="31" t="str">
        <x:v>合同发生变更。</x:v>
      </x:c>
    </x:row>
    <x:row r="134">
      <x:c r="A134" s="31" t="str">
        <x:v>EL-DEMO-130</x:v>
      </x:c>
      <x:c r="B134" s="31" t="str">
        <x:v>ONT-PROC-DEMO</x:v>
      </x:c>
      <x:c r="C134" s="31" t="str">
        <x:v>event</x:v>
      </x:c>
      <x:c r="D134" s="31" t="str">
        <x:v>PROC.OrderIssued</x:v>
      </x:c>
      <x:c r="E134" s="31" t="str">
        <x:v>订单下达</x:v>
      </x:c>
      <x:c r="F134" s="31" t="str">
        <x:v>PROC.PurchaseOrder</x:v>
      </x:c>
      <x:c r="G134" s="31" t="str"/>
      <x:c r="H134" s="31" t="str">
        <x:v>业务事件</x:v>
      </x:c>
      <x:c r="I134" s="31" t="str">
        <x:v>履约事件</x:v>
      </x:c>
      <x:c r="J134" s="31" t="str">
        <x:v>采购订单下达。</x:v>
      </x:c>
    </x:row>
    <x:row r="135">
      <x:c r="A135" s="31" t="str">
        <x:v>EL-DEMO-131</x:v>
      </x:c>
      <x:c r="B135" s="31" t="str">
        <x:v>ONT-PROC-DEMO</x:v>
      </x:c>
      <x:c r="C135" s="31" t="str">
        <x:v>event</x:v>
      </x:c>
      <x:c r="D135" s="31" t="str">
        <x:v>PROC.GoodsDispatched</x:v>
      </x:c>
      <x:c r="E135" s="31" t="str">
        <x:v>货物发运</x:v>
      </x:c>
      <x:c r="F135" s="31" t="str">
        <x:v>PROC.LogisticsRecord</x:v>
      </x:c>
      <x:c r="G135" s="31" t="str"/>
      <x:c r="H135" s="31" t="str">
        <x:v>业务事件</x:v>
      </x:c>
      <x:c r="I135" s="31" t="str">
        <x:v>履约事件</x:v>
      </x:c>
      <x:c r="J135" s="31" t="str">
        <x:v>供应商发运货物。</x:v>
      </x:c>
    </x:row>
    <x:row r="136">
      <x:c r="A136" s="31" t="str">
        <x:v>EL-DEMO-132</x:v>
      </x:c>
      <x:c r="B136" s="31" t="str">
        <x:v>ONT-PROC-DEMO</x:v>
      </x:c>
      <x:c r="C136" s="31" t="str">
        <x:v>event</x:v>
      </x:c>
      <x:c r="D136" s="31" t="str">
        <x:v>PROC.GoodsReceived</x:v>
      </x:c>
      <x:c r="E136" s="31" t="str">
        <x:v>货物收货</x:v>
      </x:c>
      <x:c r="F136" s="31" t="str">
        <x:v>PROC.GoodsReceipt</x:v>
      </x:c>
      <x:c r="G136" s="31" t="str"/>
      <x:c r="H136" s="31" t="str">
        <x:v>业务事件</x:v>
      </x:c>
      <x:c r="I136" s="31" t="str">
        <x:v>履约事件</x:v>
      </x:c>
      <x:c r="J136" s="31" t="str">
        <x:v>货物收货或入库。</x:v>
      </x:c>
    </x:row>
    <x:row r="137">
      <x:c r="A137" s="31" t="str">
        <x:v>EL-DEMO-133</x:v>
      </x:c>
      <x:c r="B137" s="31" t="str">
        <x:v>ONT-PROC-DEMO</x:v>
      </x:c>
      <x:c r="C137" s="31" t="str">
        <x:v>event</x:v>
      </x:c>
      <x:c r="D137" s="31" t="str">
        <x:v>PROC.InspectionAccepted</x:v>
      </x:c>
      <x:c r="E137" s="31" t="str">
        <x:v>验收通过</x:v>
      </x:c>
      <x:c r="F137" s="31" t="str">
        <x:v>PROC.InspectionRecord</x:v>
      </x:c>
      <x:c r="G137" s="31" t="str"/>
      <x:c r="H137" s="31" t="str">
        <x:v>业务事件</x:v>
      </x:c>
      <x:c r="I137" s="31" t="str">
        <x:v>履约事件</x:v>
      </x:c>
      <x:c r="J137" s="31" t="str">
        <x:v>验收结论为通过。</x:v>
      </x:c>
    </x:row>
    <x:row r="138">
      <x:c r="A138" s="31" t="str">
        <x:v>EL-DEMO-134</x:v>
      </x:c>
      <x:c r="B138" s="31" t="str">
        <x:v>ONT-PROC-DEMO</x:v>
      </x:c>
      <x:c r="C138" s="31" t="str">
        <x:v>event</x:v>
      </x:c>
      <x:c r="D138" s="31" t="str">
        <x:v>PROC.InvoiceIssued</x:v>
      </x:c>
      <x:c r="E138" s="31" t="str">
        <x:v>发票开具</x:v>
      </x:c>
      <x:c r="F138" s="31" t="str">
        <x:v>PROC.Invoice</x:v>
      </x:c>
      <x:c r="G138" s="31" t="str"/>
      <x:c r="H138" s="31" t="str">
        <x:v>业务事件</x:v>
      </x:c>
      <x:c r="I138" s="31" t="str">
        <x:v>结算事件</x:v>
      </x:c>
      <x:c r="J138" s="31" t="str">
        <x:v>供应商开具发票。</x:v>
      </x:c>
    </x:row>
    <x:row r="139">
      <x:c r="A139" s="31" t="str">
        <x:v>EL-DEMO-135</x:v>
      </x:c>
      <x:c r="B139" s="31" t="str">
        <x:v>ONT-PROC-DEMO</x:v>
      </x:c>
      <x:c r="C139" s="31" t="str">
        <x:v>event</x:v>
      </x:c>
      <x:c r="D139" s="31" t="str">
        <x:v>PROC.PaymentExecuted</x:v>
      </x:c>
      <x:c r="E139" s="31" t="str">
        <x:v>付款执行</x:v>
      </x:c>
      <x:c r="F139" s="31" t="str">
        <x:v>PROC.Payment</x:v>
      </x:c>
      <x:c r="G139" s="31" t="str"/>
      <x:c r="H139" s="31" t="str">
        <x:v>业务事件</x:v>
      </x:c>
      <x:c r="I139" s="31" t="str">
        <x:v>目标事件</x:v>
      </x:c>
      <x:c r="J139" s="31" t="str">
        <x:v>资金支付完成。</x:v>
      </x:c>
    </x:row>
    <x:row r="140">
      <x:c r="A140" s="31" t="str">
        <x:v>EL-DEMO-136</x:v>
      </x:c>
      <x:c r="B140" s="31" t="str">
        <x:v>ONT-PROC-DEMO</x:v>
      </x:c>
      <x:c r="C140" s="31" t="str">
        <x:v>event</x:v>
      </x:c>
      <x:c r="D140" s="31" t="str">
        <x:v>PROC.FundTransferred</x:v>
      </x:c>
      <x:c r="E140" s="31" t="str">
        <x:v>资金转移</x:v>
      </x:c>
      <x:c r="F140" s="31" t="str">
        <x:v>PROC.BankAccount</x:v>
      </x:c>
      <x:c r="G140" s="31" t="str"/>
      <x:c r="H140" s="31" t="str">
        <x:v>业务事件</x:v>
      </x:c>
      <x:c r="I140" s="31" t="str">
        <x:v>事后事件</x:v>
      </x:c>
      <x:c r="J140" s="31" t="str">
        <x:v>收款账户向其他账户转移资金。</x:v>
      </x:c>
    </x:row>
    <x:row r="141">
      <x:c r="A141" s="32" t="str">
        <x:v>EL-DEMO-137</x:v>
      </x:c>
      <x:c r="B141" s="32" t="str">
        <x:v>ONT-PROC-DEMO</x:v>
      </x:c>
      <x:c r="C141" s="32" t="str">
        <x:v>event</x:v>
      </x:c>
      <x:c r="D141" s="32" t="str">
        <x:v>PROC.WarningGenerated</x:v>
      </x:c>
      <x:c r="E141" s="32" t="str">
        <x:v>预警生成</x:v>
      </x:c>
      <x:c r="F141" s="32" t="str">
        <x:v>PROC.RiskWarning</x:v>
      </x:c>
      <x:c r="G141" s="32" t="str"/>
      <x:c r="H141" s="32" t="str">
        <x:v>业务事件</x:v>
      </x:c>
      <x:c r="I141" s="32" t="str">
        <x:v>监管事件</x:v>
      </x:c>
      <x:c r="J141" s="32" t="str">
        <x:v>规则命中并形成预警。</x:v>
      </x:c>
    </x:row>
    <x:row r="142">
      <x:c r="A142" t="str">
        <x:v>EL-DEMO-138</x:v>
      </x:c>
      <x:c r="B142" t="str">
        <x:v>ONT-PROC-DEMO</x:v>
      </x:c>
      <x:c r="C142" t="str">
        <x:v>relation</x:v>
      </x:c>
      <x:c r="D142" t="str">
        <x:v>PROC.accountOwnedByOrganization</x:v>
      </x:c>
      <x:c r="E142" t="str">
        <x:v>账户归属组织</x:v>
      </x:c>
      <x:c r="F142" t="str">
        <x:v>PROC.BankAccount</x:v>
      </x:c>
      <x:c r="G142" t="str">
        <x:v>PROC.Organization</x:v>
      </x:c>
      <x:c r="H142" t="str">
        <x:v>PROC.BankAccount → PROC.Organization</x:v>
      </x:c>
      <x:c r="I142" t="str">
        <x:v>多对一</x:v>
      </x:c>
      <x:c r="J142" t="str">
        <x:v>银行账户归属内部组织、关联企业或其他非供应商组织。</x:v>
      </x:c>
    </x:row>
    <x:row r="143">
      <x:c r="A143" t="str">
        <x:v>EL-PKG-001</x:v>
      </x:c>
      <x:c r="B143" t="str">
        <x:v>ONT-PROC-DEMO</x:v>
      </x:c>
      <x:c r="C143" t="str">
        <x:v>class</x:v>
      </x:c>
      <x:c r="D143" t="str">
        <x:v>PROC.Customer</x:v>
      </x:c>
      <x:c r="E143" t="str">
        <x:v>客户</x:v>
      </x:c>
      <x:c r="F143" t="str"/>
      <x:c r="G143" t="str"/>
      <x:c r="H143" t="str">
        <x:v>本体类</x:v>
      </x:c>
      <x:c r="I143" t="str">
        <x:v>统一社会信用代码为主标识</x:v>
      </x:c>
      <x:c r="J143" t="str">
        <x:v>采购或贸易销售合同的下游交易主体。</x:v>
      </x:c>
    </x:row>
    <x:row r="144">
      <x:c r="A144" t="str">
        <x:v>EL-PKG-002</x:v>
      </x:c>
      <x:c r="B144" t="str">
        <x:v>ONT-PROC-DEMO</x:v>
      </x:c>
      <x:c r="C144" t="str">
        <x:v>class</x:v>
      </x:c>
      <x:c r="D144" t="str">
        <x:v>PROC.TradeItem</x:v>
      </x:c>
      <x:c r="E144" t="str">
        <x:v>贸易标的</x:v>
      </x:c>
      <x:c r="F144" t="str"/>
      <x:c r="G144" t="str"/>
      <x:c r="H144" t="str">
        <x:v>本体类</x:v>
      </x:c>
      <x:c r="I144" t="str">
        <x:v>物料编码+规格为主标识</x:v>
      </x:c>
      <x:c r="J144" t="str">
        <x:v>采购、销售、物流和发票中流转的商品或服务标的。</x:v>
      </x:c>
    </x:row>
    <x:row r="145">
      <x:c r="A145" t="str">
        <x:v>EL-PKG-003</x:v>
      </x:c>
      <x:c r="B145" t="str">
        <x:v>ONT-PROC-DEMO</x:v>
      </x:c>
      <x:c r="C145" t="str">
        <x:v>class</x:v>
      </x:c>
      <x:c r="D145" t="str">
        <x:v>PROC.BidEvaluation</x:v>
      </x:c>
      <x:c r="E145" t="str">
        <x:v>智能评标结果</x:v>
      </x:c>
      <x:c r="F145" t="str"/>
      <x:c r="G145" t="str"/>
      <x:c r="H145" t="str">
        <x:v>本体类</x:v>
      </x:c>
      <x:c r="I145" t="str">
        <x:v>投标ID+评估版本为主标识</x:v>
      </x:c>
      <x:c r="J145" t="str">
        <x:v>对投标主体形成的综合评分、风险评分、评级和合作建议。</x:v>
      </x:c>
    </x:row>
    <x:row r="146">
      <x:c r="A146" t="str">
        <x:v>EL-PKG-004</x:v>
      </x:c>
      <x:c r="B146" t="str">
        <x:v>ONT-PROC-DEMO</x:v>
      </x:c>
      <x:c r="C146" t="str">
        <x:v>class</x:v>
      </x:c>
      <x:c r="D146" t="str">
        <x:v>PROC.Receivable</x:v>
      </x:c>
      <x:c r="E146" t="str">
        <x:v>应收记录</x:v>
      </x:c>
      <x:c r="F146" t="str"/>
      <x:c r="G146" t="str"/>
      <x:c r="H146" t="str">
        <x:v>本体类</x:v>
      </x:c>
      <x:c r="I146" t="str">
        <x:v>应收单号为主标识</x:v>
      </x:c>
      <x:c r="J146" t="str">
        <x:v>销售合同形成的应收账款记录。</x:v>
      </x:c>
    </x:row>
    <x:row r="147">
      <x:c r="A147" t="str">
        <x:v>EL-PKG-005</x:v>
      </x:c>
      <x:c r="B147" t="str">
        <x:v>ONT-PROC-DEMO</x:v>
      </x:c>
      <x:c r="C147" t="str">
        <x:v>class</x:v>
      </x:c>
      <x:c r="D147" t="str">
        <x:v>PROC.Prepayment</x:v>
      </x:c>
      <x:c r="E147" t="str">
        <x:v>预付记录</x:v>
      </x:c>
      <x:c r="F147" t="str"/>
      <x:c r="G147" t="str"/>
      <x:c r="H147" t="str">
        <x:v>本体类</x:v>
      </x:c>
      <x:c r="I147" t="str">
        <x:v>预付单号为主标识</x:v>
      </x:c>
      <x:c r="J147" t="str">
        <x:v>采购合同形成的预付账款记录。</x:v>
      </x:c>
    </x:row>
    <x:row r="148">
      <x:c r="A148" t="str">
        <x:v>EL-PKG-006</x:v>
      </x:c>
      <x:c r="B148" t="str">
        <x:v>ONT-PROC-DEMO</x:v>
      </x:c>
      <x:c r="C148" t="str">
        <x:v>property</x:v>
      </x:c>
      <x:c r="D148" t="str">
        <x:v>PROC.Customer.credit_code</x:v>
      </x:c>
      <x:c r="E148" t="str">
        <x:v>客户统一社会信用代码</x:v>
      </x:c>
      <x:c r="F148" t="str">
        <x:v>PROC.Customer</x:v>
      </x:c>
      <x:c r="G148" t="str"/>
      <x:c r="H148" t="str">
        <x:v>文本</x:v>
      </x:c>
      <x:c r="I148" t="str">
        <x:v>主标识、必填</x:v>
      </x:c>
      <x:c r="J148" t="str">
        <x:v>客户工商登记主标识。</x:v>
      </x:c>
    </x:row>
    <x:row r="149">
      <x:c r="A149" t="str">
        <x:v>EL-PKG-007</x:v>
      </x:c>
      <x:c r="B149" t="str">
        <x:v>ONT-PROC-DEMO</x:v>
      </x:c>
      <x:c r="C149" t="str">
        <x:v>property</x:v>
      </x:c>
      <x:c r="D149" t="str">
        <x:v>PROC.TradeItem.item_code</x:v>
      </x:c>
      <x:c r="E149" t="str">
        <x:v>标的编码</x:v>
      </x:c>
      <x:c r="F149" t="str">
        <x:v>PROC.TradeItem</x:v>
      </x:c>
      <x:c r="G149" t="str"/>
      <x:c r="H149" t="str">
        <x:v>文本</x:v>
      </x:c>
      <x:c r="I149" t="str">
        <x:v>主标识、必填</x:v>
      </x:c>
      <x:c r="J149" t="str">
        <x:v>物料或服务标的统一编码。</x:v>
      </x:c>
    </x:row>
    <x:row r="150">
      <x:c r="A150" t="str">
        <x:v>EL-PKG-008</x:v>
      </x:c>
      <x:c r="B150" t="str">
        <x:v>ONT-PROC-DEMO</x:v>
      </x:c>
      <x:c r="C150" t="str">
        <x:v>property</x:v>
      </x:c>
      <x:c r="D150" t="str">
        <x:v>PROC.TradeItem.specification</x:v>
      </x:c>
      <x:c r="E150" t="str">
        <x:v>标的规格</x:v>
      </x:c>
      <x:c r="F150" t="str">
        <x:v>PROC.TradeItem</x:v>
      </x:c>
      <x:c r="G150" t="str"/>
      <x:c r="H150" t="str">
        <x:v>文本</x:v>
      </x:c>
      <x:c r="I150" t="str">
        <x:v>必填</x:v>
      </x:c>
      <x:c r="J150" t="str">
        <x:v>型号、规格、等级等描述。</x:v>
      </x:c>
    </x:row>
    <x:row r="151">
      <x:c r="A151" t="str">
        <x:v>EL-PKG-009</x:v>
      </x:c>
      <x:c r="B151" t="str">
        <x:v>ONT-PROC-DEMO</x:v>
      </x:c>
      <x:c r="C151" t="str">
        <x:v>property</x:v>
      </x:c>
      <x:c r="D151" t="str">
        <x:v>PROC.TradeItem.quantity_unit</x:v>
      </x:c>
      <x:c r="E151" t="str">
        <x:v>数量单位</x:v>
      </x:c>
      <x:c r="F151" t="str">
        <x:v>PROC.TradeItem</x:v>
      </x:c>
      <x:c r="G151" t="str"/>
      <x:c r="H151" t="str">
        <x:v>文本</x:v>
      </x:c>
      <x:c r="I151" t="str">
        <x:v>必填</x:v>
      </x:c>
      <x:c r="J151" t="str">
        <x:v>台、吨、套等计量单位。</x:v>
      </x:c>
    </x:row>
    <x:row r="152">
      <x:c r="A152" t="str">
        <x:v>EL-PKG-010</x:v>
      </x:c>
      <x:c r="B152" t="str">
        <x:v>ONT-PROC-DEMO</x:v>
      </x:c>
      <x:c r="C152" t="str">
        <x:v>property</x:v>
      </x:c>
      <x:c r="D152" t="str">
        <x:v>PROC.Contract.business_direction</x:v>
      </x:c>
      <x:c r="E152" t="str">
        <x:v>合同业务方向</x:v>
      </x:c>
      <x:c r="F152" t="str">
        <x:v>PROC.Contract</x:v>
      </x:c>
      <x:c r="G152" t="str"/>
      <x:c r="H152" t="str">
        <x:v>枚举</x:v>
      </x:c>
      <x:c r="I152" t="str">
        <x:v>采购/销售</x:v>
      </x:c>
      <x:c r="J152" t="str">
        <x:v>合同对应采购或销售方向。</x:v>
      </x:c>
    </x:row>
    <x:row r="153">
      <x:c r="A153" t="str">
        <x:v>EL-PKG-011</x:v>
      </x:c>
      <x:c r="B153" t="str">
        <x:v>ONT-PROC-DEMO</x:v>
      </x:c>
      <x:c r="C153" t="str">
        <x:v>property</x:v>
      </x:c>
      <x:c r="D153" t="str">
        <x:v>PROC.Contract.subject_name</x:v>
      </x:c>
      <x:c r="E153" t="str">
        <x:v>合同标的名称</x:v>
      </x:c>
      <x:c r="F153" t="str">
        <x:v>PROC.Contract</x:v>
      </x:c>
      <x:c r="G153" t="str"/>
      <x:c r="H153" t="str">
        <x:v>文本</x:v>
      </x:c>
      <x:c r="I153" t="str">
        <x:v>必填</x:v>
      </x:c>
      <x:c r="J153" t="str">
        <x:v>合同主要标的名称。</x:v>
      </x:c>
    </x:row>
    <x:row r="154">
      <x:c r="A154" t="str">
        <x:v>EL-PKG-012</x:v>
      </x:c>
      <x:c r="B154" t="str">
        <x:v>ONT-PROC-DEMO</x:v>
      </x:c>
      <x:c r="C154" t="str">
        <x:v>property</x:v>
      </x:c>
      <x:c r="D154" t="str">
        <x:v>PROC.Contract.specification</x:v>
      </x:c>
      <x:c r="E154" t="str">
        <x:v>合同标的规格</x:v>
      </x:c>
      <x:c r="F154" t="str">
        <x:v>PROC.Contract</x:v>
      </x:c>
      <x:c r="G154" t="str"/>
      <x:c r="H154" t="str">
        <x:v>文本</x:v>
      </x:c>
      <x:c r="I154" t="str">
        <x:v>必填</x:v>
      </x:c>
      <x:c r="J154" t="str">
        <x:v>合同标的具体规格。</x:v>
      </x:c>
    </x:row>
    <x:row r="155">
      <x:c r="A155" t="str">
        <x:v>EL-PKG-013</x:v>
      </x:c>
      <x:c r="B155" t="str">
        <x:v>ONT-PROC-DEMO</x:v>
      </x:c>
      <x:c r="C155" t="str">
        <x:v>property</x:v>
      </x:c>
      <x:c r="D155" t="str">
        <x:v>PROC.Contract.quantity</x:v>
      </x:c>
      <x:c r="E155" t="str">
        <x:v>合同数量</x:v>
      </x:c>
      <x:c r="F155" t="str">
        <x:v>PROC.Contract</x:v>
      </x:c>
      <x:c r="G155" t="str"/>
      <x:c r="H155" t="str">
        <x:v>数值</x:v>
      </x:c>
      <x:c r="I155" t="str">
        <x:v>大于0</x:v>
      </x:c>
      <x:c r="J155" t="str">
        <x:v>合同约定数量。</x:v>
      </x:c>
    </x:row>
    <x:row r="156">
      <x:c r="A156" t="str">
        <x:v>EL-PKG-014</x:v>
      </x:c>
      <x:c r="B156" t="str">
        <x:v>ONT-PROC-DEMO</x:v>
      </x:c>
      <x:c r="C156" t="str">
        <x:v>property</x:v>
      </x:c>
      <x:c r="D156" t="str">
        <x:v>PROC.Contract.unit_price</x:v>
      </x:c>
      <x:c r="E156" t="str">
        <x:v>合同单价</x:v>
      </x:c>
      <x:c r="F156" t="str">
        <x:v>PROC.Contract</x:v>
      </x:c>
      <x:c r="G156" t="str"/>
      <x:c r="H156" t="str">
        <x:v>金额</x:v>
      </x:c>
      <x:c r="I156" t="str">
        <x:v>大于0</x:v>
      </x:c>
      <x:c r="J156" t="str">
        <x:v>合同单位价格。</x:v>
      </x:c>
    </x:row>
    <x:row r="157">
      <x:c r="A157" t="str">
        <x:v>EL-PKG-015</x:v>
      </x:c>
      <x:c r="B157" t="str">
        <x:v>ONT-PROC-DEMO</x:v>
      </x:c>
      <x:c r="C157" t="str">
        <x:v>property</x:v>
      </x:c>
      <x:c r="D157" t="str">
        <x:v>PROC.Contract.payment_terms_days</x:v>
      </x:c>
      <x:c r="E157" t="str">
        <x:v>合同账期</x:v>
      </x:c>
      <x:c r="F157" t="str">
        <x:v>PROC.Contract</x:v>
      </x:c>
      <x:c r="G157" t="str"/>
      <x:c r="H157" t="str">
        <x:v>整数</x:v>
      </x:c>
      <x:c r="I157" t="str">
        <x:v>大于等于0</x:v>
      </x:c>
      <x:c r="J157" t="str">
        <x:v>合同约定账期天数。</x:v>
      </x:c>
    </x:row>
    <x:row r="158">
      <x:c r="A158" t="str">
        <x:v>EL-PKG-016</x:v>
      </x:c>
      <x:c r="B158" t="str">
        <x:v>ONT-PROC-DEMO</x:v>
      </x:c>
      <x:c r="C158" t="str">
        <x:v>property</x:v>
      </x:c>
      <x:c r="D158" t="str">
        <x:v>PROC.BidEvaluation.total_score</x:v>
      </x:c>
      <x:c r="E158" t="str">
        <x:v>综合得分</x:v>
      </x:c>
      <x:c r="F158" t="str">
        <x:v>PROC.BidEvaluation</x:v>
      </x:c>
      <x:c r="G158" t="str"/>
      <x:c r="H158" t="str">
        <x:v>数值</x:v>
      </x:c>
      <x:c r="I158" t="str">
        <x:v>0到100</x:v>
      </x:c>
      <x:c r="J158" t="str">
        <x:v>技术、商务、价格和风险扣分后的综合得分。</x:v>
      </x:c>
    </x:row>
    <x:row r="159">
      <x:c r="A159" t="str">
        <x:v>EL-PKG-017</x:v>
      </x:c>
      <x:c r="B159" t="str">
        <x:v>ONT-PROC-DEMO</x:v>
      </x:c>
      <x:c r="C159" t="str">
        <x:v>property</x:v>
      </x:c>
      <x:c r="D159" t="str">
        <x:v>PROC.BidEvaluation.risk_score</x:v>
      </x:c>
      <x:c r="E159" t="str">
        <x:v>评标风险分</x:v>
      </x:c>
      <x:c r="F159" t="str">
        <x:v>PROC.BidEvaluation</x:v>
      </x:c>
      <x:c r="G159" t="str"/>
      <x:c r="H159" t="str">
        <x:v>整数</x:v>
      </x:c>
      <x:c r="I159" t="str">
        <x:v>0到100</x:v>
      </x:c>
      <x:c r="J159" t="str">
        <x:v>关联、文件、历史投标等信号形成的风险分。</x:v>
      </x:c>
    </x:row>
    <x:row r="160">
      <x:c r="A160" t="str">
        <x:v>EL-PKG-018</x:v>
      </x:c>
      <x:c r="B160" t="str">
        <x:v>ONT-PROC-DEMO</x:v>
      </x:c>
      <x:c r="C160" t="str">
        <x:v>property</x:v>
      </x:c>
      <x:c r="D160" t="str">
        <x:v>PROC.BidEvaluation.rating</x:v>
      </x:c>
      <x:c r="E160" t="str">
        <x:v>评标评级</x:v>
      </x:c>
      <x:c r="F160" t="str">
        <x:v>PROC.BidEvaluation</x:v>
      </x:c>
      <x:c r="G160" t="str"/>
      <x:c r="H160" t="str">
        <x:v>枚举</x:v>
      </x:c>
      <x:c r="I160" t="str">
        <x:v>A/B/C/D</x:v>
      </x:c>
      <x:c r="J160" t="str">
        <x:v>智能评标风险评级。</x:v>
      </x:c>
    </x:row>
    <x:row r="161">
      <x:c r="A161" t="str">
        <x:v>EL-PKG-019</x:v>
      </x:c>
      <x:c r="B161" t="str">
        <x:v>ONT-PROC-DEMO</x:v>
      </x:c>
      <x:c r="C161" t="str">
        <x:v>property</x:v>
      </x:c>
      <x:c r="D161" t="str">
        <x:v>PROC.BidEvaluation.recommendation</x:v>
      </x:c>
      <x:c r="E161" t="str">
        <x:v>合作建议</x:v>
      </x:c>
      <x:c r="F161" t="str">
        <x:v>PROC.BidEvaluation</x:v>
      </x:c>
      <x:c r="G161" t="str"/>
      <x:c r="H161" t="str">
        <x:v>文本</x:v>
      </x:c>
      <x:c r="I161" t="str">
        <x:v>必填</x:v>
      </x:c>
      <x:c r="J161" t="str">
        <x:v>继续评审、谨慎合作、暂停并核查等建议。</x:v>
      </x:c>
    </x:row>
    <x:row r="162">
      <x:c r="A162" t="str">
        <x:v>EL-PKG-020</x:v>
      </x:c>
      <x:c r="B162" t="str">
        <x:v>ONT-PROC-DEMO</x:v>
      </x:c>
      <x:c r="C162" t="str">
        <x:v>property</x:v>
      </x:c>
      <x:c r="D162" t="str">
        <x:v>PROC.Receivable.balance</x:v>
      </x:c>
      <x:c r="E162" t="str">
        <x:v>应收余额</x:v>
      </x:c>
      <x:c r="F162" t="str">
        <x:v>PROC.Receivable</x:v>
      </x:c>
      <x:c r="G162" t="str"/>
      <x:c r="H162" t="str">
        <x:v>金额</x:v>
      </x:c>
      <x:c r="I162" t="str">
        <x:v>大于等于0</x:v>
      </x:c>
      <x:c r="J162" t="str">
        <x:v>应收记录余额。</x:v>
      </x:c>
    </x:row>
    <x:row r="163">
      <x:c r="A163" t="str">
        <x:v>EL-PKG-021</x:v>
      </x:c>
      <x:c r="B163" t="str">
        <x:v>ONT-PROC-DEMO</x:v>
      </x:c>
      <x:c r="C163" t="str">
        <x:v>property</x:v>
      </x:c>
      <x:c r="D163" t="str">
        <x:v>PROC.Prepayment.balance</x:v>
      </x:c>
      <x:c r="E163" t="str">
        <x:v>预付余额</x:v>
      </x:c>
      <x:c r="F163" t="str">
        <x:v>PROC.Prepayment</x:v>
      </x:c>
      <x:c r="G163" t="str"/>
      <x:c r="H163" t="str">
        <x:v>金额</x:v>
      </x:c>
      <x:c r="I163" t="str">
        <x:v>大于等于0</x:v>
      </x:c>
      <x:c r="J163" t="str">
        <x:v>预付记录余额。</x:v>
      </x:c>
    </x:row>
    <x:row r="164">
      <x:c r="A164" t="str">
        <x:v>EL-PKG-022</x:v>
      </x:c>
      <x:c r="B164" t="str">
        <x:v>ONT-PROC-DEMO</x:v>
      </x:c>
      <x:c r="C164" t="str">
        <x:v>property</x:v>
      </x:c>
      <x:c r="D164" t="str">
        <x:v>PROC.BankAccount.account_type</x:v>
      </x:c>
      <x:c r="E164" t="str">
        <x:v>账户类型</x:v>
      </x:c>
      <x:c r="F164" t="str">
        <x:v>PROC.BankAccount</x:v>
      </x:c>
      <x:c r="G164" t="str"/>
      <x:c r="H164" t="str">
        <x:v>枚举</x:v>
      </x:c>
      <x:c r="I164" t="str">
        <x:v>对公/个人</x:v>
      </x:c>
      <x:c r="J164" t="str">
        <x:v>银行账户类型。</x:v>
      </x:c>
    </x:row>
    <x:row r="165">
      <x:c r="A165" t="str">
        <x:v>EL-PKG-023</x:v>
      </x:c>
      <x:c r="B165" t="str">
        <x:v>ONT-PROC-DEMO</x:v>
      </x:c>
      <x:c r="C165" t="str">
        <x:v>property</x:v>
      </x:c>
      <x:c r="D165" t="str">
        <x:v>PROC.Supplier.legal_representative_id</x:v>
      </x:c>
      <x:c r="E165" t="str">
        <x:v>法定代表人编码</x:v>
      </x:c>
      <x:c r="F165" t="str">
        <x:v>PROC.Supplier</x:v>
      </x:c>
      <x:c r="G165" t="str"/>
      <x:c r="H165" t="str">
        <x:v>文本</x:v>
      </x:c>
      <x:c r="I165" t="str">
        <x:v>可空</x:v>
      </x:c>
      <x:c r="J165" t="str">
        <x:v>供应商法定代表人关联人员编码。</x:v>
      </x:c>
    </x:row>
    <x:row r="166">
      <x:c r="A166" t="str">
        <x:v>EL-PKG-024</x:v>
      </x:c>
      <x:c r="B166" t="str">
        <x:v>ONT-PROC-DEMO</x:v>
      </x:c>
      <x:c r="C166" t="str">
        <x:v>property</x:v>
      </x:c>
      <x:c r="D166" t="str">
        <x:v>PROC.Supplier.paid_in_capital</x:v>
      </x:c>
      <x:c r="E166" t="str">
        <x:v>实缴资本</x:v>
      </x:c>
      <x:c r="F166" t="str">
        <x:v>PROC.Supplier</x:v>
      </x:c>
      <x:c r="G166" t="str"/>
      <x:c r="H166" t="str">
        <x:v>金额</x:v>
      </x:c>
      <x:c r="I166" t="str">
        <x:v>大于等于0</x:v>
      </x:c>
      <x:c r="J166" t="str">
        <x:v>供应商实缴资本。</x:v>
      </x:c>
    </x:row>
    <x:row r="167">
      <x:c r="A167" t="str">
        <x:v>EL-PKG-025</x:v>
      </x:c>
      <x:c r="B167" t="str">
        <x:v>ONT-PROC-DEMO</x:v>
      </x:c>
      <x:c r="C167" t="str">
        <x:v>relation</x:v>
      </x:c>
      <x:c r="D167" t="str">
        <x:v>PROC.supplierInvestsInSupplier</x:v>
      </x:c>
      <x:c r="E167" t="str">
        <x:v>供应商投资关系</x:v>
      </x:c>
      <x:c r="F167" t="str">
        <x:v>PROC.Supplier</x:v>
      </x:c>
      <x:c r="G167" t="str">
        <x:v>PROC.Supplier</x:v>
      </x:c>
      <x:c r="H167" t="str">
        <x:v>PROC.Supplier → PROC.Supplier</x:v>
      </x:c>
      <x:c r="I167" t="str">
        <x:v>多对多</x:v>
      </x:c>
      <x:c r="J167" t="str">
        <x:v>投标或交易主体间直接投资、交叉持股关系。</x:v>
      </x:c>
    </x:row>
    <x:row r="168">
      <x:c r="A168" t="str">
        <x:v>EL-PKG-026</x:v>
      </x:c>
      <x:c r="B168" t="str">
        <x:v>ONT-PROC-DEMO</x:v>
      </x:c>
      <x:c r="C168" t="str">
        <x:v>relation</x:v>
      </x:c>
      <x:c r="D168" t="str">
        <x:v>PROC.personShareholderOfSupplier</x:v>
      </x:c>
      <x:c r="E168" t="str">
        <x:v>自然人股东</x:v>
      </x:c>
      <x:c r="F168" t="str">
        <x:v>PROC.Person</x:v>
      </x:c>
      <x:c r="G168" t="str">
        <x:v>PROC.Supplier</x:v>
      </x:c>
      <x:c r="H168" t="str">
        <x:v>PROC.Person → PROC.Supplier</x:v>
      </x:c>
      <x:c r="I168" t="str">
        <x:v>多对多</x:v>
      </x:c>
      <x:c r="J168" t="str">
        <x:v>自然人持有供应商股权。</x:v>
      </x:c>
    </x:row>
    <x:row r="169">
      <x:c r="A169" t="str">
        <x:v>EL-PKG-027</x:v>
      </x:c>
      <x:c r="B169" t="str">
        <x:v>ONT-PROC-DEMO</x:v>
      </x:c>
      <x:c r="C169" t="str">
        <x:v>relation</x:v>
      </x:c>
      <x:c r="D169" t="str">
        <x:v>PROC.personExecutiveAtSupplier</x:v>
      </x:c>
      <x:c r="E169" t="str">
        <x:v>高管任职</x:v>
      </x:c>
      <x:c r="F169" t="str">
        <x:v>PROC.Person</x:v>
      </x:c>
      <x:c r="G169" t="str">
        <x:v>PROC.Supplier</x:v>
      </x:c>
      <x:c r="H169" t="str">
        <x:v>PROC.Person → PROC.Supplier</x:v>
      </x:c>
      <x:c r="I169" t="str">
        <x:v>多对多</x:v>
      </x:c>
      <x:c r="J169" t="str">
        <x:v>人员担任供应商董事、监事或高级管理人员。</x:v>
      </x:c>
    </x:row>
    <x:row r="170">
      <x:c r="A170" t="str">
        <x:v>EL-PKG-028</x:v>
      </x:c>
      <x:c r="B170" t="str">
        <x:v>ONT-PROC-DEMO</x:v>
      </x:c>
      <x:c r="C170" t="str">
        <x:v>relation</x:v>
      </x:c>
      <x:c r="D170" t="str">
        <x:v>PROC.personLegalRepresentativeOfSupplier</x:v>
      </x:c>
      <x:c r="E170" t="str">
        <x:v>担任法定代表人</x:v>
      </x:c>
      <x:c r="F170" t="str">
        <x:v>PROC.Person</x:v>
      </x:c>
      <x:c r="G170" t="str">
        <x:v>PROC.Supplier</x:v>
      </x:c>
      <x:c r="H170" t="str">
        <x:v>PROC.Person → PROC.Supplier</x:v>
      </x:c>
      <x:c r="I170" t="str">
        <x:v>一对多</x:v>
      </x:c>
      <x:c r="J170" t="str">
        <x:v>人员担任供应商法定代表人。</x:v>
      </x:c>
    </x:row>
    <x:row r="171">
      <x:c r="A171" t="str">
        <x:v>EL-PKG-029</x:v>
      </x:c>
      <x:c r="B171" t="str">
        <x:v>ONT-PROC-DEMO</x:v>
      </x:c>
      <x:c r="C171" t="str">
        <x:v>relation</x:v>
      </x:c>
      <x:c r="D171" t="str">
        <x:v>PROC.bidHasEvaluation</x:v>
      </x:c>
      <x:c r="E171" t="str">
        <x:v>投标评估结果</x:v>
      </x:c>
      <x:c r="F171" t="str">
        <x:v>PROC.Bid</x:v>
      </x:c>
      <x:c r="G171" t="str">
        <x:v>PROC.BidEvaluation</x:v>
      </x:c>
      <x:c r="H171" t="str">
        <x:v>PROC.Bid → PROC.BidEvaluation</x:v>
      </x:c>
      <x:c r="I171" t="str">
        <x:v>一对多</x:v>
      </x:c>
      <x:c r="J171" t="str">
        <x:v>投标对应智能评标结果。</x:v>
      </x:c>
    </x:row>
    <x:row r="172">
      <x:c r="A172" t="str">
        <x:v>EL-PKG-030</x:v>
      </x:c>
      <x:c r="B172" t="str">
        <x:v>ONT-PROC-DEMO</x:v>
      </x:c>
      <x:c r="C172" t="str">
        <x:v>relation</x:v>
      </x:c>
      <x:c r="D172" t="str">
        <x:v>PROC.evaluationOfSupplier</x:v>
      </x:c>
      <x:c r="E172" t="str">
        <x:v>评估供应商</x:v>
      </x:c>
      <x:c r="F172" t="str">
        <x:v>PROC.BidEvaluation</x:v>
      </x:c>
      <x:c r="G172" t="str">
        <x:v>PROC.Supplier</x:v>
      </x:c>
      <x:c r="H172" t="str">
        <x:v>PROC.BidEvaluation → PROC.Supplier</x:v>
      </x:c>
      <x:c r="I172" t="str">
        <x:v>多对一</x:v>
      </x:c>
      <x:c r="J172" t="str">
        <x:v>评标结果对应供应商。</x:v>
      </x:c>
    </x:row>
    <x:row r="173">
      <x:c r="A173" t="str">
        <x:v>EL-PKG-031</x:v>
      </x:c>
      <x:c r="B173" t="str">
        <x:v>ONT-PROC-DEMO</x:v>
      </x:c>
      <x:c r="C173" t="str">
        <x:v>relation</x:v>
      </x:c>
      <x:c r="D173" t="str">
        <x:v>PROC.contractBuyerCustomer</x:v>
      </x:c>
      <x:c r="E173" t="str">
        <x:v>合同买方客户</x:v>
      </x:c>
      <x:c r="F173" t="str">
        <x:v>PROC.Contract</x:v>
      </x:c>
      <x:c r="G173" t="str">
        <x:v>PROC.Customer</x:v>
      </x:c>
      <x:c r="H173" t="str">
        <x:v>PROC.Contract → PROC.Customer</x:v>
      </x:c>
      <x:c r="I173" t="str">
        <x:v>多对一</x:v>
      </x:c>
      <x:c r="J173" t="str">
        <x:v>销售合同的买方客户。</x:v>
      </x:c>
    </x:row>
    <x:row r="174">
      <x:c r="A174" t="str">
        <x:v>EL-PKG-032</x:v>
      </x:c>
      <x:c r="B174" t="str">
        <x:v>ONT-PROC-DEMO</x:v>
      </x:c>
      <x:c r="C174" t="str">
        <x:v>relation</x:v>
      </x:c>
      <x:c r="D174" t="str">
        <x:v>PROC.contractSellerOrganization</x:v>
      </x:c>
      <x:c r="E174" t="str">
        <x:v>合同卖方组织</x:v>
      </x:c>
      <x:c r="F174" t="str">
        <x:v>PROC.Contract</x:v>
      </x:c>
      <x:c r="G174" t="str">
        <x:v>PROC.Organization</x:v>
      </x:c>
      <x:c r="H174" t="str">
        <x:v>PROC.Contract → PROC.Organization</x:v>
      </x:c>
      <x:c r="I174" t="str">
        <x:v>多对一</x:v>
      </x:c>
      <x:c r="J174" t="str">
        <x:v>销售合同的卖方组织。</x:v>
      </x:c>
    </x:row>
    <x:row r="175">
      <x:c r="A175" t="str">
        <x:v>EL-PKG-033</x:v>
      </x:c>
      <x:c r="B175" t="str">
        <x:v>ONT-PROC-DEMO</x:v>
      </x:c>
      <x:c r="C175" t="str">
        <x:v>relation</x:v>
      </x:c>
      <x:c r="D175" t="str">
        <x:v>PROC.contractCoversItem</x:v>
      </x:c>
      <x:c r="E175" t="str">
        <x:v>合同包含标的</x:v>
      </x:c>
      <x:c r="F175" t="str">
        <x:v>PROC.Contract</x:v>
      </x:c>
      <x:c r="G175" t="str">
        <x:v>PROC.TradeItem</x:v>
      </x:c>
      <x:c r="H175" t="str">
        <x:v>PROC.Contract → PROC.TradeItem</x:v>
      </x:c>
      <x:c r="I175" t="str">
        <x:v>多对多</x:v>
      </x:c>
      <x:c r="J175" t="str">
        <x:v>合同包含的商品或服务标的。</x:v>
      </x:c>
    </x:row>
    <x:row r="176">
      <x:c r="A176" t="str">
        <x:v>EL-PKG-034</x:v>
      </x:c>
      <x:c r="B176" t="str">
        <x:v>ONT-PROC-DEMO</x:v>
      </x:c>
      <x:c r="C176" t="str">
        <x:v>relation</x:v>
      </x:c>
      <x:c r="D176" t="str">
        <x:v>PROC.supplierSameEntityAsCustomer</x:v>
      </x:c>
      <x:c r="E176" t="str">
        <x:v>供应商客户同源</x:v>
      </x:c>
      <x:c r="F176" t="str">
        <x:v>PROC.Supplier</x:v>
      </x:c>
      <x:c r="G176" t="str">
        <x:v>PROC.Customer</x:v>
      </x:c>
      <x:c r="H176" t="str">
        <x:v>PROC.Supplier → PROC.Customer</x:v>
      </x:c>
      <x:c r="I176" t="str">
        <x:v>一对一</x:v>
      </x:c>
      <x:c r="J176" t="str">
        <x:v>供应商角色和客户角色映射到同一经营主体。</x:v>
      </x:c>
    </x:row>
    <x:row r="177">
      <x:c r="A177" t="str">
        <x:v>EL-PKG-035</x:v>
      </x:c>
      <x:c r="B177" t="str">
        <x:v>ONT-PROC-DEMO</x:v>
      </x:c>
      <x:c r="C177" t="str">
        <x:v>relation</x:v>
      </x:c>
      <x:c r="D177" t="str">
        <x:v>PROC.paymentFromAccount</x:v>
      </x:c>
      <x:c r="E177" t="str">
        <x:v>付款来源账户</x:v>
      </x:c>
      <x:c r="F177" t="str">
        <x:v>PROC.Payment</x:v>
      </x:c>
      <x:c r="G177" t="str">
        <x:v>PROC.BankAccount</x:v>
      </x:c>
      <x:c r="H177" t="str">
        <x:v>PROC.Payment → PROC.BankAccount</x:v>
      </x:c>
      <x:c r="I177" t="str">
        <x:v>多对一</x:v>
      </x:c>
      <x:c r="J177" t="str">
        <x:v>支付或收款流水的资金来源账户。</x:v>
      </x:c>
    </x:row>
    <x:row r="178">
      <x:c r="A178" t="str">
        <x:v>EL-PKG-036</x:v>
      </x:c>
      <x:c r="B178" t="str">
        <x:v>ONT-PROC-DEMO</x:v>
      </x:c>
      <x:c r="C178" t="str">
        <x:v>relation</x:v>
      </x:c>
      <x:c r="D178" t="str">
        <x:v>PROC.contractHasReceivable</x:v>
      </x:c>
      <x:c r="E178" t="str">
        <x:v>合同形成应收</x:v>
      </x:c>
      <x:c r="F178" t="str">
        <x:v>PROC.Contract</x:v>
      </x:c>
      <x:c r="G178" t="str">
        <x:v>PROC.Receivable</x:v>
      </x:c>
      <x:c r="H178" t="str">
        <x:v>PROC.Contract → PROC.Receivable</x:v>
      </x:c>
      <x:c r="I178" t="str">
        <x:v>一对多</x:v>
      </x:c>
      <x:c r="J178" t="str">
        <x:v>销售合同形成应收账款。</x:v>
      </x:c>
    </x:row>
    <x:row r="179">
      <x:c r="A179" t="str">
        <x:v>EL-PKG-037</x:v>
      </x:c>
      <x:c r="B179" t="str">
        <x:v>ONT-PROC-DEMO</x:v>
      </x:c>
      <x:c r="C179" t="str">
        <x:v>relation</x:v>
      </x:c>
      <x:c r="D179" t="str">
        <x:v>PROC.contractHasPrepayment</x:v>
      </x:c>
      <x:c r="E179" t="str">
        <x:v>合同形成预付</x:v>
      </x:c>
      <x:c r="F179" t="str">
        <x:v>PROC.Contract</x:v>
      </x:c>
      <x:c r="G179" t="str">
        <x:v>PROC.Prepayment</x:v>
      </x:c>
      <x:c r="H179" t="str">
        <x:v>PROC.Contract → PROC.Prepayment</x:v>
      </x:c>
      <x:c r="I179" t="str">
        <x:v>一对多</x:v>
      </x:c>
      <x:c r="J179" t="str">
        <x:v>采购合同形成预付款。</x:v>
      </x:c>
    </x:row>
    <x:row r="180">
      <x:c r="A180" t="str">
        <x:v>EL-PKG-038</x:v>
      </x:c>
      <x:c r="B180" t="str">
        <x:v>ONT-PROC-DEMO</x:v>
      </x:c>
      <x:c r="C180" t="str">
        <x:v>relation</x:v>
      </x:c>
      <x:c r="D180" t="str">
        <x:v>PROC.customerUsesAccount</x:v>
      </x:c>
      <x:c r="E180" t="str">
        <x:v>客户使用账户</x:v>
      </x:c>
      <x:c r="F180" t="str">
        <x:v>PROC.Customer</x:v>
      </x:c>
      <x:c r="G180" t="str">
        <x:v>PROC.BankAccount</x:v>
      </x:c>
      <x:c r="H180" t="str">
        <x:v>PROC.Customer → PROC.BankAccount</x:v>
      </x:c>
      <x:c r="I180" t="str">
        <x:v>多对多</x:v>
      </x:c>
      <x:c r="J180" t="str">
        <x:v>客户用于收付款的银行账户。</x:v>
      </x:c>
    </x:row>
    <x:row r="181">
      <x:c r="A181" t="str">
        <x:v>EL-PKG-039</x:v>
      </x:c>
      <x:c r="B181" t="str">
        <x:v>ONT-PROC-DEMO</x:v>
      </x:c>
      <x:c r="C181" t="str">
        <x:v>relation</x:v>
      </x:c>
      <x:c r="D181" t="str">
        <x:v>PROC.personControlsCustomer</x:v>
      </x:c>
      <x:c r="E181" t="str">
        <x:v>实际控制客户</x:v>
      </x:c>
      <x:c r="F181" t="str">
        <x:v>PROC.Person</x:v>
      </x:c>
      <x:c r="G181" t="str">
        <x:v>PROC.Customer</x:v>
      </x:c>
      <x:c r="H181" t="str">
        <x:v>PROC.Person → PROC.Customer</x:v>
      </x:c>
      <x:c r="I181" t="str">
        <x:v>多对多</x:v>
      </x:c>
      <x:c r="J181" t="str">
        <x:v>人员对客户主体的实际控制关系。</x:v>
      </x:c>
    </x:row>
    <x:row r="182">
      <x:c r="A182" t="str">
        <x:v>EL-PKG-040</x:v>
      </x:c>
      <x:c r="B182" t="str">
        <x:v>ONT-PROC-DEMO</x:v>
      </x:c>
      <x:c r="C182" t="str">
        <x:v>relation</x:v>
      </x:c>
      <x:c r="D182" t="str">
        <x:v>PROC.invoiceIssuedByOrganization</x:v>
      </x:c>
      <x:c r="E182" t="str">
        <x:v>组织开具发票</x:v>
      </x:c>
      <x:c r="F182" t="str">
        <x:v>PROC.Invoice</x:v>
      </x:c>
      <x:c r="G182" t="str">
        <x:v>PROC.Organization</x:v>
      </x:c>
      <x:c r="H182" t="str">
        <x:v>PROC.Invoice → PROC.Organization</x:v>
      </x:c>
      <x:c r="I182" t="str">
        <x:v>多对一</x:v>
      </x:c>
      <x:c r="J182" t="str">
        <x:v>发票由内部组织或关联组织开具。</x:v>
      </x:c>
    </x:row>
    <x:row r="183">
      <x:c r="A183" t="str">
        <x:v>EL-PKG-041</x:v>
      </x:c>
      <x:c r="B183" t="str">
        <x:v>ONT-PROC-DEMO</x:v>
      </x:c>
      <x:c r="C183" t="str">
        <x:v>event</x:v>
      </x:c>
      <x:c r="D183" t="str">
        <x:v>PROC.EvaluationScored</x:v>
      </x:c>
      <x:c r="E183" t="str">
        <x:v>智能评标完成</x:v>
      </x:c>
      <x:c r="F183" t="str">
        <x:v>PROC.BidEvaluation</x:v>
      </x:c>
      <x:c r="G183" t="str"/>
      <x:c r="H183" t="str">
        <x:v>业务事件</x:v>
      </x:c>
      <x:c r="I183" t="str">
        <x:v>评标事件</x:v>
      </x:c>
      <x:c r="J183" t="str">
        <x:v>智能评标形成评分、评级和合作建议。</x:v>
      </x:c>
    </x:row>
    <x:row r="184">
      <x:c r="A184" t="str">
        <x:v>EL-PKG-042</x:v>
      </x:c>
      <x:c r="B184" t="str">
        <x:v>ONT-PROC-DEMO</x:v>
      </x:c>
      <x:c r="C184" t="str">
        <x:v>event</x:v>
      </x:c>
      <x:c r="D184" t="str">
        <x:v>PROC.CollectionReceived</x:v>
      </x:c>
      <x:c r="E184" t="str">
        <x:v>销售回款到账</x:v>
      </x:c>
      <x:c r="F184" t="str">
        <x:v>PROC.Payment</x:v>
      </x:c>
      <x:c r="G184" t="str"/>
      <x:c r="H184" t="str">
        <x:v>业务事件</x:v>
      </x:c>
      <x:c r="I184" t="str">
        <x:v>结算事件</x:v>
      </x:c>
      <x:c r="J184" t="str">
        <x:v>销售合同回款到账。</x:v>
      </x:c>
    </x:row>
    <x:row r="185">
      <x:c r="A185" t="str">
        <x:v>EL-PKG-043</x:v>
      </x:c>
      <x:c r="B185" t="str">
        <x:v>ONT-PROC-DEMO</x:v>
      </x:c>
      <x:c r="C185" t="str">
        <x:v>event</x:v>
      </x:c>
      <x:c r="D185" t="str">
        <x:v>PROC.ReceivableRecorded</x:v>
      </x:c>
      <x:c r="E185" t="str">
        <x:v>应收确认</x:v>
      </x:c>
      <x:c r="F185" t="str">
        <x:v>PROC.Receivable</x:v>
      </x:c>
      <x:c r="G185" t="str"/>
      <x:c r="H185" t="str">
        <x:v>业务事件</x:v>
      </x:c>
      <x:c r="I185" t="str">
        <x:v>结算事件</x:v>
      </x:c>
      <x:c r="J185" t="str">
        <x:v>销售合同形成应收记录。</x:v>
      </x:c>
    </x:row>
    <x:row r="186">
      <x:c r="A186" t="str">
        <x:v>EL-PKG-044</x:v>
      </x:c>
      <x:c r="B186" t="str">
        <x:v>ONT-PROC-DEMO</x:v>
      </x:c>
      <x:c r="C186" t="str">
        <x:v>event</x:v>
      </x:c>
      <x:c r="D186" t="str">
        <x:v>PROC.PrepaymentRecorded</x:v>
      </x:c>
      <x:c r="E186" t="str">
        <x:v>预付确认</x:v>
      </x:c>
      <x:c r="F186" t="str">
        <x:v>PROC.Prepayment</x:v>
      </x:c>
      <x:c r="G186" t="str"/>
      <x:c r="H186" t="str">
        <x:v>业务事件</x:v>
      </x:c>
      <x:c r="I186" t="str">
        <x:v>结算事件</x:v>
      </x:c>
      <x:c r="J186" t="str">
        <x:v>采购合同形成预付记录。</x:v>
      </x:c>
    </x:row>
  </x:sheetData>
  <x:mergeCells>
    <x:mergeCell ref="A1:J1"/>
    <x:mergeCell ref="A2:J2"/>
  </x:mergeCells>
  <x:conditionalFormatting sqref="C5:C141">
    <x:cfRule type="containsText" dxfId="0" priority="1" operator="containsText" text="class"/>
    <x:cfRule type="containsText" dxfId="1" priority="2" operator="containsText" text="relation"/>
    <x:cfRule type="containsText" dxfId="2" priority="3" operator="containsText" text="event"/>
  </x:conditionalFormatting>
  <x:pageMargins left="0.7" right="0.7" top="0.75" bottom="0.75" header="0.3" footer="0.3"/>
  <x:tableParts count="1">
    <x:tablePart xmlns:r="http://schemas.openxmlformats.org/officeDocument/2006/relationships" r:id="Rfea88e624fbb4a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0" hidden="0" customWidth="1"/>
    <x:col min="2" max="2" width="26" hidden="0" customWidth="1"/>
    <x:col min="3" max="3" width="28" hidden="0" customWidth="1"/>
    <x:col min="4" max="4" width="18" hidden="0" customWidth="1"/>
    <x:col min="5" max="5" width="12" hidden="0" customWidth="1"/>
    <x:col min="6" max="6" width="24" hidden="0" customWidth="1"/>
    <x:col min="7" max="7" width="24" hidden="0" customWidth="1"/>
    <x:col min="8" max="8" width="12" hidden="0" customWidth="1"/>
    <x:col min="9" max="9" width="12" hidden="0" customWidth="1"/>
    <x:col min="10" max="10" width="12" hidden="0" customWidth="1"/>
    <x:col min="11" max="11" width="10" hidden="0" customWidth="1"/>
    <x:col min="12" max="12" width="10" hidden="0" customWidth="1"/>
    <x:col min="13" max="13" width="12" hidden="0" customWidth="1"/>
    <x:col min="14" max="14" width="19" hidden="0" customWidth="1"/>
  </x:cols>
  <x:sheetData>
    <x:row r="1" ht="34" customHeight="1">
      <x:c r="A1" s="4" t="str">
        <x:v>采购与供应链演示图谱版本</x:v>
      </x:c>
      <x:c r="B1" s="4"/>
      <x:c r="C1" s="4"/>
      <x:c r="D1" s="4"/>
      <x:c r="E1" s="4"/>
      <x:c r="F1" s="4"/>
      <x:c r="G1" s="4"/>
      <x:c r="H1" s="4"/>
      <x:c r="I1" s="4"/>
      <x:c r="J1" s="4"/>
      <x:c r="K1" s="4"/>
      <x:c r="L1" s="4"/>
      <x:c r="M1" s="4"/>
      <x:c r="N1" s="4"/>
    </x:row>
    <x:row r="2" ht="32" customHeight="1">
      <x:c r="A2" s="8" t="str">
        <x:v>版本元数据匹配现有 graph_versions；节点、关系、事件数量由实例工作表自动统计。</x:v>
      </x:c>
      <x:c r="B2" s="8"/>
      <x:c r="C2" s="8"/>
      <x:c r="D2" s="8"/>
      <x:c r="E2" s="8"/>
      <x:c r="F2" s="8"/>
      <x:c r="G2" s="8"/>
      <x:c r="H2" s="8"/>
      <x:c r="I2" s="8"/>
      <x:c r="J2" s="8"/>
      <x:c r="K2" s="8"/>
      <x:c r="L2" s="8"/>
      <x:c r="M2" s="8"/>
      <x:c r="N2" s="8"/>
    </x:row>
    <x:row r="4" ht="32" customHeight="1">
      <x:c r="A4" s="65" t="str">
        <x:v>图谱版本ID</x:v>
      </x:c>
      <x:c r="B4" s="66" t="str">
        <x:v>图谱编码</x:v>
      </x:c>
      <x:c r="C4" s="66" t="str">
        <x:v>图谱名称</x:v>
      </x:c>
      <x:c r="D4" s="66" t="str">
        <x:v>本体ID</x:v>
      </x:c>
      <x:c r="E4" s="66" t="str">
        <x:v>本体版本</x:v>
      </x:c>
      <x:c r="F4" s="66" t="str">
        <x:v>映射版本</x:v>
      </x:c>
      <x:c r="G4" s="66" t="str">
        <x:v>数据范围</x:v>
      </x:c>
      <x:c r="H4" s="66" t="str">
        <x:v>实体数</x:v>
      </x:c>
      <x:c r="I4" s="66" t="str">
        <x:v>关系数</x:v>
      </x:c>
      <x:c r="J4" s="66" t="str">
        <x:v>事件数</x:v>
      </x:c>
      <x:c r="K4" s="66" t="str">
        <x:v>阻断项</x:v>
      </x:c>
      <x:c r="L4" s="66" t="str">
        <x:v>警告项</x:v>
      </x:c>
      <x:c r="M4" s="66" t="str">
        <x:v>状态</x:v>
      </x:c>
      <x:c r="N4" s="67" t="str">
        <x:v>发布时间</x:v>
      </x:c>
    </x:row>
    <x:row r="5">
      <x:c r="A5" s="118" t="str">
        <x:v>GRAPH-PROC-DEMO-20260720.1</x:v>
      </x:c>
      <x:c r="B5" s="118" t="str">
        <x:v>PROCUREMENT-RISK-DEMO</x:v>
      </x:c>
      <x:c r="C5" s="118" t="str">
        <x:v>采购与供应链演示图谱</x:v>
      </x:c>
      <x:c r="D5" s="118" t="str">
        <x:v>ONT-PROC-DEMO</x:v>
      </x:c>
      <x:c r="E5" s="118" t="str">
        <x:v>v1.0</x:v>
      </x:c>
      <x:c r="F5" s="118" t="str">
        <x:v>MAP-PROC-DEMO-v1.0</x:v>
      </x:c>
      <x:c r="G5" s="118" t="str">
        <x:v>2026-03-01 至 2026-07-20</x:v>
      </x:c>
      <x:c r="H5" s="121" t="n">
        <x:f>COUNTA('图谱节点'!$A$5:$A$300)</x:f>
        <x:v>171</x:v>
      </x:c>
      <x:c r="I5" s="121" t="n">
        <x:f>COUNTA('图谱关系'!$A$5:$A$500)</x:f>
        <x:v>249</x:v>
      </x:c>
      <x:c r="J5" s="121" t="n">
        <x:f>COUNTA('业务事件'!$A$5:$A$300)</x:f>
        <x:v>69</x:v>
      </x:c>
      <x:c r="K5" s="121" t="n">
        <x:v>0</x:v>
      </x:c>
      <x:c r="L5" s="121" t="n">
        <x:v>0</x:v>
      </x:c>
      <x:c r="M5" s="118" t="str">
        <x:v>已发布</x:v>
      </x:c>
      <x:c r="N5" s="119" t="n">
        <x:v>46223.09027777778</x:v>
      </x:c>
    </x:row>
  </x:sheetData>
  <x:mergeCells>
    <x:mergeCell ref="A1:N1"/>
    <x:mergeCell ref="A2:N2"/>
  </x:mergeCells>
  <x:pageMargins left="0.7" right="0.7" top="0.75" bottom="0.75" header="0.3" footer="0.3"/>
  <x:tableParts count="1">
    <x:tablePart xmlns:r="http://schemas.openxmlformats.org/officeDocument/2006/relationships" r:id="R1c00087f97f344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28" hidden="0" customWidth="1"/>
    <x:col min="4" max="4" width="12" hidden="0" customWidth="1"/>
    <x:col min="5" max="5" width="16" hidden="0" customWidth="1"/>
    <x:col min="6" max="6" width="18" hidden="0" customWidth="1"/>
    <x:col min="7" max="7" width="18" hidden="0" customWidth="1"/>
    <x:col min="8" max="8" width="18" hidden="0" customWidth="1"/>
    <x:col min="9" max="9" width="18" hidden="0" customWidth="1"/>
    <x:col min="10" max="10" width="10" hidden="0" customWidth="1"/>
    <x:col min="11" max="11" width="55" hidden="0" customWidth="1"/>
  </x:cols>
  <x:sheetData>
    <x:row r="1" ht="34" customHeight="1">
      <x:c r="A1" s="4" t="str">
        <x:v>采购监管知识图谱节点实例</x:v>
      </x:c>
      <x:c r="B1" s="4"/>
      <x:c r="C1" s="4"/>
      <x:c r="D1" s="4"/>
      <x:c r="E1" s="4"/>
      <x:c r="F1" s="4"/>
      <x:c r="G1" s="4"/>
      <x:c r="H1" s="4"/>
      <x:c r="I1" s="4"/>
      <x:c r="J1" s="4"/>
      <x:c r="K1" s="4"/>
    </x:row>
    <x:row r="2" ht="32" customHeight="1">
      <x:c r="A2" s="8" t="str">
        <x:v>节点实例为后续图谱构建和风险规则运行的核心输入。现有数据库尚无实例节点表，建议审批后新增 graph_entities。</x:v>
      </x:c>
      <x:c r="B2" s="8"/>
      <x:c r="C2" s="8"/>
      <x:c r="D2" s="8"/>
      <x:c r="E2" s="8"/>
      <x:c r="F2" s="8"/>
      <x:c r="G2" s="8"/>
      <x:c r="H2" s="8"/>
      <x:c r="I2" s="8"/>
      <x:c r="J2" s="8"/>
      <x:c r="K2" s="8"/>
    </x:row>
    <x:row r="4" ht="32" customHeight="1">
      <x:c r="A4" s="65" t="str">
        <x:v>节点ID</x:v>
      </x:c>
      <x:c r="B4" s="66" t="str">
        <x:v>本体类编码</x:v>
      </x:c>
      <x:c r="C4" s="66" t="str">
        <x:v>节点名称</x:v>
      </x:c>
      <x:c r="D4" s="66" t="str">
        <x:v>案例ID</x:v>
      </x:c>
      <x:c r="E4" s="66" t="str">
        <x:v>所属组织</x:v>
      </x:c>
      <x:c r="F4" s="66" t="str">
        <x:v>来源系统</x:v>
      </x:c>
      <x:c r="G4" s="66" t="str">
        <x:v>来源记录</x:v>
      </x:c>
      <x:c r="H4" s="66" t="str">
        <x:v>有效起始</x:v>
      </x:c>
      <x:c r="I4" s="66" t="str">
        <x:v>有效结束</x:v>
      </x:c>
      <x:c r="J4" s="66" t="str">
        <x:v>状态</x:v>
      </x:c>
      <x:c r="K4" s="67" t="str">
        <x:v>属性JSON</x:v>
      </x:c>
    </x:row>
    <x:row r="5">
      <x:c r="A5" s="30" t="str">
        <x:v>ORG-GROUP</x:v>
      </x:c>
      <x:c r="B5" s="30" t="str">
        <x:v>PROC.Organization</x:v>
      </x:c>
      <x:c r="C5" s="30" t="str">
        <x:v>中国电子云集团</x:v>
      </x:c>
      <x:c r="D5" s="30" t="str">
        <x:v>COMMON</x:v>
      </x:c>
      <x:c r="E5" s="30" t="str">
        <x:v>ORG-GROUP</x:v>
      </x:c>
      <x:c r="F5" s="30" t="str">
        <x:v>MDM</x:v>
      </x:c>
      <x:c r="G5" s="30" t="str">
        <x:v>ORG-1</x:v>
      </x:c>
      <x:c r="H5" s="68" t="n">
        <x:v>46023</x:v>
      </x:c>
      <x:c r="I5" s="68"/>
      <x:c r="J5" s="30" t="str">
        <x:v>有效</x:v>
      </x:c>
      <x:c r="K5" s="30" t="str">
        <x:v>{"org_code":"ORG-GROUP","organization_type":"内部组织"}</x:v>
      </x:c>
    </x:row>
    <x:row r="6">
      <x:c r="A6" s="31" t="str">
        <x:v>ORG-PROC</x:v>
      </x:c>
      <x:c r="B6" s="31" t="str">
        <x:v>PROC.Organization</x:v>
      </x:c>
      <x:c r="C6" s="31" t="str">
        <x:v>集团采购中心</x:v>
      </x:c>
      <x:c r="D6" s="31" t="str">
        <x:v>COMMON</x:v>
      </x:c>
      <x:c r="E6" s="31" t="str">
        <x:v>ORG-PROC</x:v>
      </x:c>
      <x:c r="F6" s="31" t="str">
        <x:v>MDM</x:v>
      </x:c>
      <x:c r="G6" s="31" t="str">
        <x:v>ORG-2</x:v>
      </x:c>
      <x:c r="H6" s="69" t="n">
        <x:v>46023</x:v>
      </x:c>
      <x:c r="I6" s="69"/>
      <x:c r="J6" s="31" t="str">
        <x:v>有效</x:v>
      </x:c>
      <x:c r="K6" s="31" t="str">
        <x:v>{"org_code":"ORG-PROC","organization_type":"内部组织"}</x:v>
      </x:c>
    </x:row>
    <x:row r="7">
      <x:c r="A7" s="31" t="str">
        <x:v>ORG-INFRA</x:v>
      </x:c>
      <x:c r="B7" s="31" t="str">
        <x:v>PROC.Organization</x:v>
      </x:c>
      <x:c r="C7" s="31" t="str">
        <x:v>数字基础设施事业部</x:v>
      </x:c>
      <x:c r="D7" s="31" t="str">
        <x:v>COMMON</x:v>
      </x:c>
      <x:c r="E7" s="31" t="str">
        <x:v>ORG-INFRA</x:v>
      </x:c>
      <x:c r="F7" s="31" t="str">
        <x:v>MDM</x:v>
      </x:c>
      <x:c r="G7" s="31" t="str">
        <x:v>ORG-3</x:v>
      </x:c>
      <x:c r="H7" s="69" t="n">
        <x:v>46023</x:v>
      </x:c>
      <x:c r="I7" s="69"/>
      <x:c r="J7" s="31" t="str">
        <x:v>有效</x:v>
      </x:c>
      <x:c r="K7" s="31" t="str">
        <x:v>{"org_code":"ORG-INFRA","organization_type":"内部组织"}</x:v>
      </x:c>
    </x:row>
    <x:row r="8">
      <x:c r="A8" s="31" t="str">
        <x:v>ORG-DATA</x:v>
      </x:c>
      <x:c r="B8" s="31" t="str">
        <x:v>PROC.Organization</x:v>
      </x:c>
      <x:c r="C8" s="31" t="str">
        <x:v>数据智能事业部</x:v>
      </x:c>
      <x:c r="D8" s="31" t="str">
        <x:v>COMMON</x:v>
      </x:c>
      <x:c r="E8" s="31" t="str">
        <x:v>ORG-DATA</x:v>
      </x:c>
      <x:c r="F8" s="31" t="str">
        <x:v>MDM</x:v>
      </x:c>
      <x:c r="G8" s="31" t="str">
        <x:v>ORG-4</x:v>
      </x:c>
      <x:c r="H8" s="69" t="n">
        <x:v>46023</x:v>
      </x:c>
      <x:c r="I8" s="69"/>
      <x:c r="J8" s="31" t="str">
        <x:v>有效</x:v>
      </x:c>
      <x:c r="K8" s="31" t="str">
        <x:v>{"org_code":"ORG-DATA","organization_type":"内部组织"}</x:v>
      </x:c>
    </x:row>
    <x:row r="9">
      <x:c r="A9" s="31" t="str">
        <x:v>ORG-SEC</x:v>
      </x:c>
      <x:c r="B9" s="31" t="str">
        <x:v>PROC.Organization</x:v>
      </x:c>
      <x:c r="C9" s="31" t="str">
        <x:v>信息安全事业部</x:v>
      </x:c>
      <x:c r="D9" s="31" t="str">
        <x:v>COMMON</x:v>
      </x:c>
      <x:c r="E9" s="31" t="str">
        <x:v>ORG-SEC</x:v>
      </x:c>
      <x:c r="F9" s="31" t="str">
        <x:v>MDM</x:v>
      </x:c>
      <x:c r="G9" s="31" t="str">
        <x:v>ORG-5</x:v>
      </x:c>
      <x:c r="H9" s="69" t="n">
        <x:v>46023</x:v>
      </x:c>
      <x:c r="I9" s="69"/>
      <x:c r="J9" s="31" t="str">
        <x:v>有效</x:v>
      </x:c>
      <x:c r="K9" s="31" t="str">
        <x:v>{"org_code":"ORG-SEC","organization_type":"内部组织"}</x:v>
      </x:c>
    </x:row>
    <x:row r="10">
      <x:c r="A10" s="31" t="str">
        <x:v>ORG-OPS</x:v>
      </x:c>
      <x:c r="B10" s="31" t="str">
        <x:v>PROC.Organization</x:v>
      </x:c>
      <x:c r="C10" s="31" t="str">
        <x:v>云运营事业部</x:v>
      </x:c>
      <x:c r="D10" s="31" t="str">
        <x:v>COMMON</x:v>
      </x:c>
      <x:c r="E10" s="31" t="str">
        <x:v>ORG-OPS</x:v>
      </x:c>
      <x:c r="F10" s="31" t="str">
        <x:v>MDM</x:v>
      </x:c>
      <x:c r="G10" s="31" t="str">
        <x:v>ORG-6</x:v>
      </x:c>
      <x:c r="H10" s="69" t="n">
        <x:v>46023</x:v>
      </x:c>
      <x:c r="I10" s="69"/>
      <x:c r="J10" s="31" t="str">
        <x:v>有效</x:v>
      </x:c>
      <x:c r="K10" s="31" t="str">
        <x:v>{"org_code":"ORG-OPS","organization_type":"内部组织"}</x:v>
      </x:c>
    </x:row>
    <x:row r="11">
      <x:c r="A11" s="31" t="str">
        <x:v>ORG-FIN</x:v>
      </x:c>
      <x:c r="B11" s="31" t="str">
        <x:v>PROC.Organization</x:v>
      </x:c>
      <x:c r="C11" s="31" t="str">
        <x:v>集团财务共享中心</x:v>
      </x:c>
      <x:c r="D11" s="31" t="str">
        <x:v>COMMON</x:v>
      </x:c>
      <x:c r="E11" s="31" t="str">
        <x:v>ORG-FIN</x:v>
      </x:c>
      <x:c r="F11" s="31" t="str">
        <x:v>MDM</x:v>
      </x:c>
      <x:c r="G11" s="31" t="str">
        <x:v>ORG-7</x:v>
      </x:c>
      <x:c r="H11" s="69" t="n">
        <x:v>46023</x:v>
      </x:c>
      <x:c r="I11" s="69"/>
      <x:c r="J11" s="31" t="str">
        <x:v>有效</x:v>
      </x:c>
      <x:c r="K11" s="31" t="str">
        <x:v>{"org_code":"ORG-FIN","organization_type":"内部组织"}</x:v>
      </x:c>
    </x:row>
    <x:row r="12">
      <x:c r="A12" s="31" t="str">
        <x:v>ORG-WH</x:v>
      </x:c>
      <x:c r="B12" s="31" t="str">
        <x:v>PROC.Organization</x:v>
      </x:c>
      <x:c r="C12" s="31" t="str">
        <x:v>华北中心仓</x:v>
      </x:c>
      <x:c r="D12" s="31" t="str">
        <x:v>COMMON</x:v>
      </x:c>
      <x:c r="E12" s="31" t="str">
        <x:v>ORG-WH</x:v>
      </x:c>
      <x:c r="F12" s="31" t="str">
        <x:v>MDM</x:v>
      </x:c>
      <x:c r="G12" s="31" t="str">
        <x:v>ORG-8</x:v>
      </x:c>
      <x:c r="H12" s="69" t="n">
        <x:v>46023</x:v>
      </x:c>
      <x:c r="I12" s="69"/>
      <x:c r="J12" s="31" t="str">
        <x:v>有效</x:v>
      </x:c>
      <x:c r="K12" s="31" t="str">
        <x:v>{"org_code":"ORG-WH","organization_type":"内部组织"}</x:v>
      </x:c>
    </x:row>
    <x:row r="13">
      <x:c r="A13" s="31" t="str">
        <x:v>ORG-AFFIL</x:v>
      </x:c>
      <x:c r="B13" s="31" t="str">
        <x:v>PROC.Organization</x:v>
      </x:c>
      <x:c r="C13" s="31" t="str">
        <x:v>云创技术服务有限公司</x:v>
      </x:c>
      <x:c r="D13" s="31" t="str">
        <x:v>COMMON</x:v>
      </x:c>
      <x:c r="E13" s="31" t="str">
        <x:v>ORG-AFFIL</x:v>
      </x:c>
      <x:c r="F13" s="31" t="str">
        <x:v>MDM</x:v>
      </x:c>
      <x:c r="G13" s="31" t="str">
        <x:v>ORG-9</x:v>
      </x:c>
      <x:c r="H13" s="69" t="n">
        <x:v>46023</x:v>
      </x:c>
      <x:c r="I13" s="69"/>
      <x:c r="J13" s="31" t="str">
        <x:v>有效</x:v>
      </x:c>
      <x:c r="K13" s="31" t="str">
        <x:v>{"org_code":"ORG-AFFIL","organization_type":"关联企业"}</x:v>
      </x:c>
    </x:row>
    <x:row r="14">
      <x:c r="A14" s="31" t="str">
        <x:v>PER-BUY-001</x:v>
      </x:c>
      <x:c r="B14" s="31" t="str">
        <x:v>PROC.Person</x:v>
      </x:c>
      <x:c r="C14" s="31" t="str">
        <x:v>张凯</x:v>
      </x:c>
      <x:c r="D14" s="31" t="str">
        <x:v>COMMON</x:v>
      </x:c>
      <x:c r="E14" s="31" t="str">
        <x:v>ORG-PROC</x:v>
      </x:c>
      <x:c r="F14" s="31" t="str">
        <x:v>MDM</x:v>
      </x:c>
      <x:c r="G14" s="31" t="str">
        <x:v>PER-1</x:v>
      </x:c>
      <x:c r="H14" s="69" t="n">
        <x:v>46023</x:v>
      </x:c>
      <x:c r="I14" s="69"/>
      <x:c r="J14" s="31" t="str">
        <x:v>有效</x:v>
      </x:c>
      <x:c r="K14" s="31" t="str">
        <x:v>{"person_id":"PER-BUY-001","role":"采购经理","employment_status":"在职"}</x:v>
      </x:c>
    </x:row>
    <x:row r="15">
      <x:c r="A15" s="31" t="str">
        <x:v>PER-BUD-001</x:v>
      </x:c>
      <x:c r="B15" s="31" t="str">
        <x:v>PROC.Person</x:v>
      </x:c>
      <x:c r="C15" s="31" t="str">
        <x:v>李静</x:v>
      </x:c>
      <x:c r="D15" s="31" t="str">
        <x:v>COMMON</x:v>
      </x:c>
      <x:c r="E15" s="31" t="str">
        <x:v>ORG-FIN</x:v>
      </x:c>
      <x:c r="F15" s="31" t="str">
        <x:v>MDM</x:v>
      </x:c>
      <x:c r="G15" s="31" t="str">
        <x:v>PER-2</x:v>
      </x:c>
      <x:c r="H15" s="69" t="n">
        <x:v>46023</x:v>
      </x:c>
      <x:c r="I15" s="69"/>
      <x:c r="J15" s="31" t="str">
        <x:v>有效</x:v>
      </x:c>
      <x:c r="K15" s="31" t="str">
        <x:v>{"person_id":"PER-BUD-001","role":"预算审批人","employment_status":"在职"}</x:v>
      </x:c>
    </x:row>
    <x:row r="16">
      <x:c r="A16" s="31" t="str">
        <x:v>PER-REV-001</x:v>
      </x:c>
      <x:c r="B16" s="31" t="str">
        <x:v>PROC.Person</x:v>
      </x:c>
      <x:c r="C16" s="31" t="str">
        <x:v>王磊</x:v>
      </x:c>
      <x:c r="D16" s="31" t="str">
        <x:v>COMMON</x:v>
      </x:c>
      <x:c r="E16" s="31" t="str">
        <x:v>ORG-SEC</x:v>
      </x:c>
      <x:c r="F16" s="31" t="str">
        <x:v>MDM</x:v>
      </x:c>
      <x:c r="G16" s="31" t="str">
        <x:v>PER-3</x:v>
      </x:c>
      <x:c r="H16" s="69" t="n">
        <x:v>46023</x:v>
      </x:c>
      <x:c r="I16" s="69"/>
      <x:c r="J16" s="31" t="str">
        <x:v>有效</x:v>
      </x:c>
      <x:c r="K16" s="31" t="str">
        <x:v>{"person_id":"PER-REV-001","role":"评审专家","employment_status":"在职"}</x:v>
      </x:c>
    </x:row>
    <x:row r="17">
      <x:c r="A17" s="31" t="str">
        <x:v>PER-REV-002</x:v>
      </x:c>
      <x:c r="B17" s="31" t="str">
        <x:v>PROC.Person</x:v>
      </x:c>
      <x:c r="C17" s="31" t="str">
        <x:v>赵敏</x:v>
      </x:c>
      <x:c r="D17" s="31" t="str">
        <x:v>COMMON</x:v>
      </x:c>
      <x:c r="E17" s="31" t="str">
        <x:v>ORG-OPS</x:v>
      </x:c>
      <x:c r="F17" s="31" t="str">
        <x:v>MDM</x:v>
      </x:c>
      <x:c r="G17" s="31" t="str">
        <x:v>PER-4</x:v>
      </x:c>
      <x:c r="H17" s="69" t="n">
        <x:v>46023</x:v>
      </x:c>
      <x:c r="I17" s="69"/>
      <x:c r="J17" s="31" t="str">
        <x:v>有效</x:v>
      </x:c>
      <x:c r="K17" s="31" t="str">
        <x:v>{"person_id":"PER-REV-002","role":"评审专家","employment_status":"在职"}</x:v>
      </x:c>
    </x:row>
    <x:row r="18">
      <x:c r="A18" s="31" t="str">
        <x:v>PER-CTRL-001</x:v>
      </x:c>
      <x:c r="B18" s="31" t="str">
        <x:v>PROC.Person</x:v>
      </x:c>
      <x:c r="C18" s="31" t="str">
        <x:v>李强</x:v>
      </x:c>
      <x:c r="D18" s="31" t="str">
        <x:v>COMMON</x:v>
      </x:c>
      <x:c r="E18" s="31" t="str"/>
      <x:c r="F18" s="31" t="str">
        <x:v>MDM</x:v>
      </x:c>
      <x:c r="G18" s="31" t="str">
        <x:v>PER-5</x:v>
      </x:c>
      <x:c r="H18" s="69" t="n">
        <x:v>46023</x:v>
      </x:c>
      <x:c r="I18" s="69"/>
      <x:c r="J18" s="31" t="str">
        <x:v>有效</x:v>
      </x:c>
      <x:c r="K18" s="31" t="str">
        <x:v>{"person_id":"PER-CTRL-001","role":"供应商实际控制人","employment_status":"外部"}</x:v>
      </x:c>
    </x:row>
    <x:row r="19">
      <x:c r="A19" s="31" t="str">
        <x:v>PER-SUP-001</x:v>
      </x:c>
      <x:c r="B19" s="31" t="str">
        <x:v>PROC.Person</x:v>
      </x:c>
      <x:c r="C19" s="31" t="str">
        <x:v>陈伟</x:v>
      </x:c>
      <x:c r="D19" s="31" t="str">
        <x:v>COMMON</x:v>
      </x:c>
      <x:c r="E19" s="31" t="str"/>
      <x:c r="F19" s="31" t="str">
        <x:v>MDM</x:v>
      </x:c>
      <x:c r="G19" s="31" t="str">
        <x:v>PER-6</x:v>
      </x:c>
      <x:c r="H19" s="69" t="n">
        <x:v>46023</x:v>
      </x:c>
      <x:c r="I19" s="69"/>
      <x:c r="J19" s="31" t="str">
        <x:v>有效</x:v>
      </x:c>
      <x:c r="K19" s="31" t="str">
        <x:v>{"person_id":"PER-SUP-001","role":"投标文件经办人","employment_status":"外部"}</x:v>
      </x:c>
    </x:row>
    <x:row r="20">
      <x:c r="A20" s="31" t="str">
        <x:v>PER-WH-001</x:v>
      </x:c>
      <x:c r="B20" s="31" t="str">
        <x:v>PROC.Person</x:v>
      </x:c>
      <x:c r="C20" s="31" t="str">
        <x:v>孙超</x:v>
      </x:c>
      <x:c r="D20" s="31" t="str">
        <x:v>COMMON</x:v>
      </x:c>
      <x:c r="E20" s="31" t="str">
        <x:v>ORG-WH</x:v>
      </x:c>
      <x:c r="F20" s="31" t="str">
        <x:v>MDM</x:v>
      </x:c>
      <x:c r="G20" s="31" t="str">
        <x:v>PER-7</x:v>
      </x:c>
      <x:c r="H20" s="69" t="n">
        <x:v>46023</x:v>
      </x:c>
      <x:c r="I20" s="69"/>
      <x:c r="J20" s="31" t="str">
        <x:v>有效</x:v>
      </x:c>
      <x:c r="K20" s="31" t="str">
        <x:v>{"person_id":"PER-WH-001","role":"仓储操作员","employment_status":"在职"}</x:v>
      </x:c>
    </x:row>
    <x:row r="21">
      <x:c r="A21" s="31" t="str">
        <x:v>PER-PM-001</x:v>
      </x:c>
      <x:c r="B21" s="31" t="str">
        <x:v>PROC.Person</x:v>
      </x:c>
      <x:c r="C21" s="31" t="str">
        <x:v>周海</x:v>
      </x:c>
      <x:c r="D21" s="31" t="str">
        <x:v>COMMON</x:v>
      </x:c>
      <x:c r="E21" s="31" t="str">
        <x:v>ORG-OPS</x:v>
      </x:c>
      <x:c r="F21" s="31" t="str">
        <x:v>MDM</x:v>
      </x:c>
      <x:c r="G21" s="31" t="str">
        <x:v>PER-8</x:v>
      </x:c>
      <x:c r="H21" s="69" t="n">
        <x:v>46023</x:v>
      </x:c>
      <x:c r="I21" s="69"/>
      <x:c r="J21" s="31" t="str">
        <x:v>有效</x:v>
      </x:c>
      <x:c r="K21" s="31" t="str">
        <x:v>{"person_id":"PER-PM-001","role":"项目经理","employment_status":"在职"}</x:v>
      </x:c>
    </x:row>
    <x:row r="22">
      <x:c r="A22" s="31" t="str">
        <x:v>PER-AFF-001</x:v>
      </x:c>
      <x:c r="B22" s="31" t="str">
        <x:v>PROC.Person</x:v>
      </x:c>
      <x:c r="C22" s="31" t="str">
        <x:v>高峰</x:v>
      </x:c>
      <x:c r="D22" s="31" t="str">
        <x:v>COMMON</x:v>
      </x:c>
      <x:c r="E22" s="31" t="str">
        <x:v>ORG-AFFIL</x:v>
      </x:c>
      <x:c r="F22" s="31" t="str">
        <x:v>MDM</x:v>
      </x:c>
      <x:c r="G22" s="31" t="str">
        <x:v>PER-9</x:v>
      </x:c>
      <x:c r="H22" s="69" t="n">
        <x:v>46023</x:v>
      </x:c>
      <x:c r="I22" s="69"/>
      <x:c r="J22" s="31" t="str">
        <x:v>有效</x:v>
      </x:c>
      <x:c r="K22" s="31" t="str">
        <x:v>{"person_id":"PER-AFF-001","role":"法定代表人","employment_status":"在职"}</x:v>
      </x:c>
    </x:row>
    <x:row r="23">
      <x:c r="A23" s="31" t="str">
        <x:v>SUP-C001</x:v>
      </x:c>
      <x:c r="B23" s="31" t="str">
        <x:v>PROC.Supplier</x:v>
      </x:c>
      <x:c r="C23" s="31" t="str">
        <x:v>京华算力科技有限公司</x:v>
      </x:c>
      <x:c r="D23" s="31" t="str">
        <x:v>CASE-001</x:v>
      </x:c>
      <x:c r="E23" s="31" t="str"/>
      <x:c r="F23" s="31" t="str">
        <x:v>SupplierMDM</x:v>
      </x:c>
      <x:c r="G23" s="31" t="str">
        <x:v>SUP-C001</x:v>
      </x:c>
      <x:c r="H23" s="69" t="n">
        <x:v>46023</x:v>
      </x:c>
      <x:c r="I23" s="69"/>
      <x:c r="J23" s="31" t="str">
        <x:v>有效</x:v>
      </x:c>
      <x:c r="K23" s="31" t="str">
        <x:v>{"credit_code":"91110108DEMO0001X","registered_at":"2015-03-18","employee_count":126,"registered_capital":50000000,"status":"准入"}</x:v>
      </x:c>
    </x:row>
    <x:row r="24">
      <x:c r="A24" s="31" t="str">
        <x:v>SUP-C002</x:v>
      </x:c>
      <x:c r="B24" s="31" t="str">
        <x:v>PROC.Supplier</x:v>
      </x:c>
      <x:c r="C24" s="31" t="str">
        <x:v>北方办公设备有限公司</x:v>
      </x:c>
      <x:c r="D24" s="31" t="str">
        <x:v>CASE-002</x:v>
      </x:c>
      <x:c r="E24" s="31" t="str"/>
      <x:c r="F24" s="31" t="str">
        <x:v>SupplierMDM</x:v>
      </x:c>
      <x:c r="G24" s="31" t="str">
        <x:v>SUP-C002</x:v>
      </x:c>
      <x:c r="H24" s="69" t="n">
        <x:v>46023</x:v>
      </x:c>
      <x:c r="I24" s="69"/>
      <x:c r="J24" s="31" t="str">
        <x:v>有效</x:v>
      </x:c>
      <x:c r="K24" s="31" t="str">
        <x:v>{"credit_code":"91110106DEMO0002X","registered_at":"2012-08-09","employee_count":83,"registered_capital":30000000,"status":"准入"}</x:v>
      </x:c>
    </x:row>
    <x:row r="25">
      <x:c r="A25" s="31" t="str">
        <x:v>SUP-C003</x:v>
      </x:c>
      <x:c r="B25" s="31" t="str">
        <x:v>PROC.Supplier</x:v>
      </x:c>
      <x:c r="C25" s="31" t="str">
        <x:v>华夏数智系统有限公司</x:v>
      </x:c>
      <x:c r="D25" s="31" t="str">
        <x:v>CASE-003</x:v>
      </x:c>
      <x:c r="E25" s="31" t="str"/>
      <x:c r="F25" s="31" t="str">
        <x:v>SupplierMDM</x:v>
      </x:c>
      <x:c r="G25" s="31" t="str">
        <x:v>SUP-C003</x:v>
      </x:c>
      <x:c r="H25" s="69" t="n">
        <x:v>46023</x:v>
      </x:c>
      <x:c r="I25" s="69"/>
      <x:c r="J25" s="31" t="str">
        <x:v>有效</x:v>
      </x:c>
      <x:c r="K25" s="31" t="str">
        <x:v>{"credit_code":"91110105DEMO0003X","registered_at":"2018-11-12","employee_count":74,"registered_capital":60000000,"status":"准入"}</x:v>
      </x:c>
    </x:row>
    <x:row r="26">
      <x:c r="A26" s="31" t="str">
        <x:v>SUP-C004</x:v>
      </x:c>
      <x:c r="B26" s="31" t="str">
        <x:v>PROC.Supplier</x:v>
      </x:c>
      <x:c r="C26" s="31" t="str">
        <x:v>中科云联信息有限公司</x:v>
      </x:c>
      <x:c r="D26" s="31" t="str">
        <x:v>CASE-003</x:v>
      </x:c>
      <x:c r="E26" s="31" t="str"/>
      <x:c r="F26" s="31" t="str">
        <x:v>SupplierMDM</x:v>
      </x:c>
      <x:c r="G26" s="31" t="str">
        <x:v>SUP-C004</x:v>
      </x:c>
      <x:c r="H26" s="69" t="n">
        <x:v>46023</x:v>
      </x:c>
      <x:c r="I26" s="69"/>
      <x:c r="J26" s="31" t="str">
        <x:v>有效</x:v>
      </x:c>
      <x:c r="K26" s="31" t="str">
        <x:v>{"credit_code":"91110105DEMO0004X","registered_at":"2026-01-08","employee_count":2,"registered_capital":1000000,"status":"准入"}</x:v>
      </x:c>
    </x:row>
    <x:row r="27">
      <x:c r="A27" s="31" t="str">
        <x:v>SUP-C005</x:v>
      </x:c>
      <x:c r="B27" s="31" t="str">
        <x:v>PROC.Supplier</x:v>
      </x:c>
      <x:c r="C27" s="31" t="str">
        <x:v>国信软件服务有限公司</x:v>
      </x:c>
      <x:c r="D27" s="31" t="str">
        <x:v>CASE-003</x:v>
      </x:c>
      <x:c r="E27" s="31" t="str"/>
      <x:c r="F27" s="31" t="str">
        <x:v>SupplierMDM</x:v>
      </x:c>
      <x:c r="G27" s="31" t="str">
        <x:v>SUP-C005</x:v>
      </x:c>
      <x:c r="H27" s="69" t="n">
        <x:v>46023</x:v>
      </x:c>
      <x:c r="I27" s="69"/>
      <x:c r="J27" s="31" t="str">
        <x:v>有效</x:v>
      </x:c>
      <x:c r="K27" s="31" t="str">
        <x:v>{"credit_code":"91110105DEMO0005X","registered_at":"2026-02-12","employee_count":1,"registered_capital":500000,"status":"准入"}</x:v>
      </x:c>
    </x:row>
    <x:row r="28">
      <x:c r="A28" s="31" t="str">
        <x:v>SUP-C006</x:v>
      </x:c>
      <x:c r="B28" s="31" t="str">
        <x:v>PROC.Supplier</x:v>
      </x:c>
      <x:c r="C28" s="31" t="str">
        <x:v>安信网络技术有限公司</x:v>
      </x:c>
      <x:c r="D28" s="31" t="str">
        <x:v>CASE-004</x:v>
      </x:c>
      <x:c r="E28" s="31" t="str"/>
      <x:c r="F28" s="31" t="str">
        <x:v>SupplierMDM</x:v>
      </x:c>
      <x:c r="G28" s="31" t="str">
        <x:v>SUP-C006</x:v>
      </x:c>
      <x:c r="H28" s="69" t="n">
        <x:v>46023</x:v>
      </x:c>
      <x:c r="I28" s="69"/>
      <x:c r="J28" s="31" t="str">
        <x:v>有效</x:v>
      </x:c>
      <x:c r="K28" s="31" t="str">
        <x:v>{"credit_code":"91110108DEMO0006X","registered_at":"2017-04-21","employee_count":58,"registered_capital":40000000,"status":"准入"}</x:v>
      </x:c>
    </x:row>
    <x:row r="29">
      <x:c r="A29" s="31" t="str">
        <x:v>SUP-C007</x:v>
      </x:c>
      <x:c r="B29" s="31" t="str">
        <x:v>PROC.Supplier</x:v>
      </x:c>
      <x:c r="C29" s="31" t="str">
        <x:v>博远信息系统有限公司</x:v>
      </x:c>
      <x:c r="D29" s="31" t="str">
        <x:v>CASE-004</x:v>
      </x:c>
      <x:c r="E29" s="31" t="str"/>
      <x:c r="F29" s="31" t="str">
        <x:v>SupplierMDM</x:v>
      </x:c>
      <x:c r="G29" s="31" t="str">
        <x:v>SUP-C007</x:v>
      </x:c>
      <x:c r="H29" s="69" t="n">
        <x:v>46023</x:v>
      </x:c>
      <x:c r="I29" s="69"/>
      <x:c r="J29" s="31" t="str">
        <x:v>有效</x:v>
      </x:c>
      <x:c r="K29" s="31" t="str">
        <x:v>{"credit_code":"91110108DEMO0007X","registered_at":"2016-07-15","employee_count":46,"registered_capital":30000000,"status":"准入"}</x:v>
      </x:c>
    </x:row>
    <x:row r="30">
      <x:c r="A30" s="31" t="str">
        <x:v>SUP-C008</x:v>
      </x:c>
      <x:c r="B30" s="31" t="str">
        <x:v>PROC.Supplier</x:v>
      </x:c>
      <x:c r="C30" s="31" t="str">
        <x:v>同创科技发展有限公司</x:v>
      </x:c>
      <x:c r="D30" s="31" t="str">
        <x:v>CASE-004</x:v>
      </x:c>
      <x:c r="E30" s="31" t="str"/>
      <x:c r="F30" s="31" t="str">
        <x:v>SupplierMDM</x:v>
      </x:c>
      <x:c r="G30" s="31" t="str">
        <x:v>SUP-C008</x:v>
      </x:c>
      <x:c r="H30" s="69" t="n">
        <x:v>46023</x:v>
      </x:c>
      <x:c r="I30" s="69"/>
      <x:c r="J30" s="31" t="str">
        <x:v>有效</x:v>
      </x:c>
      <x:c r="K30" s="31" t="str">
        <x:v>{"credit_code":"91110108DEMO0008X","registered_at":"2019-09-03","employee_count":39,"registered_capital":30000000,"status":"准入"}</x:v>
      </x:c>
    </x:row>
    <x:row r="31">
      <x:c r="A31" s="31" t="str">
        <x:v>SUP-C009</x:v>
      </x:c>
      <x:c r="B31" s="31" t="str">
        <x:v>PROC.Supplier</x:v>
      </x:c>
      <x:c r="C31" s="31" t="str">
        <x:v>云维科技服务有限公司</x:v>
      </x:c>
      <x:c r="D31" s="31" t="str">
        <x:v>CASE-005</x:v>
      </x:c>
      <x:c r="E31" s="31" t="str"/>
      <x:c r="F31" s="31" t="str">
        <x:v>SupplierMDM</x:v>
      </x:c>
      <x:c r="G31" s="31" t="str">
        <x:v>SUP-C009</x:v>
      </x:c>
      <x:c r="H31" s="69" t="n">
        <x:v>46023</x:v>
      </x:c>
      <x:c r="I31" s="69"/>
      <x:c r="J31" s="31" t="str">
        <x:v>有效</x:v>
      </x:c>
      <x:c r="K31" s="31" t="str">
        <x:v>{"credit_code":"91110102DEMO0009X","registered_at":"2014-02-27","employee_count":112,"registered_capital":50000000,"status":"准入"}</x:v>
      </x:c>
    </x:row>
    <x:row r="32">
      <x:c r="A32" s="31" t="str">
        <x:v>SUP-C010</x:v>
      </x:c>
      <x:c r="B32" s="31" t="str">
        <x:v>PROC.Supplier</x:v>
      </x:c>
      <x:c r="C32" s="31" t="str">
        <x:v>江苏云海存储设备有限公司</x:v>
      </x:c>
      <x:c r="D32" s="31" t="str">
        <x:v>CASE-006</x:v>
      </x:c>
      <x:c r="E32" s="31" t="str"/>
      <x:c r="F32" s="31" t="str">
        <x:v>SupplierMDM</x:v>
      </x:c>
      <x:c r="G32" s="31" t="str">
        <x:v>SUP-C010</x:v>
      </x:c>
      <x:c r="H32" s="69" t="n">
        <x:v>46023</x:v>
      </x:c>
      <x:c r="I32" s="69"/>
      <x:c r="J32" s="31" t="str">
        <x:v>有效</x:v>
      </x:c>
      <x:c r="K32" s="31" t="str">
        <x:v>{"credit_code":"91320100DEMO0010X","registered_at":"2016-06-16","employee_count":67,"registered_capital":80000000,"status":"准入"}</x:v>
      </x:c>
    </x:row>
    <x:row r="33">
      <x:c r="A33" s="31" t="str">
        <x:v>SUP-C011</x:v>
      </x:c>
      <x:c r="B33" s="31" t="str">
        <x:v>PROC.Supplier</x:v>
      </x:c>
      <x:c r="C33" s="31" t="str">
        <x:v>蓝盾安全服务有限公司</x:v>
      </x:c>
      <x:c r="D33" s="31" t="str">
        <x:v>CASE-007</x:v>
      </x:c>
      <x:c r="E33" s="31" t="str"/>
      <x:c r="F33" s="31" t="str">
        <x:v>SupplierMDM</x:v>
      </x:c>
      <x:c r="G33" s="31" t="str">
        <x:v>SUP-C011</x:v>
      </x:c>
      <x:c r="H33" s="69" t="n">
        <x:v>46023</x:v>
      </x:c>
      <x:c r="I33" s="69"/>
      <x:c r="J33" s="31" t="str">
        <x:v>有效</x:v>
      </x:c>
      <x:c r="K33" s="31" t="str">
        <x:v>{"credit_code":"91110108DEMO0011X","registered_at":"2013-12-06","employee_count":158,"registered_capital":100000000,"status":"准入"}</x:v>
      </x:c>
    </x:row>
    <x:row r="34">
      <x:c r="A34" s="31" t="str">
        <x:v>SUP-C012</x:v>
      </x:c>
      <x:c r="B34" s="31" t="str">
        <x:v>PROC.Supplier</x:v>
      </x:c>
      <x:c r="C34" s="31" t="str">
        <x:v>诚达服务器技术有限公司</x:v>
      </x:c>
      <x:c r="D34" s="31" t="str">
        <x:v>CASE-008</x:v>
      </x:c>
      <x:c r="E34" s="31" t="str"/>
      <x:c r="F34" s="31" t="str">
        <x:v>SupplierMDM</x:v>
      </x:c>
      <x:c r="G34" s="31" t="str">
        <x:v>SUP-C012</x:v>
      </x:c>
      <x:c r="H34" s="69" t="n">
        <x:v>46023</x:v>
      </x:c>
      <x:c r="I34" s="69"/>
      <x:c r="J34" s="31" t="str">
        <x:v>有效</x:v>
      </x:c>
      <x:c r="K34" s="31" t="str">
        <x:v>{"credit_code":"91110108DEMO0012X","registered_at":"2010-05-14","employee_count":246,"registered_capital":150000000,"status":"准入"}</x:v>
      </x:c>
    </x:row>
    <x:row r="35">
      <x:c r="A35" s="31" t="str">
        <x:v>DMD-001</x:v>
      </x:c>
      <x:c r="B35" s="31" t="str">
        <x:v>PROC.ProcurementDemand</x:v>
      </x:c>
      <x:c r="C35" s="31" t="str">
        <x:v>智能算力节点扩容需求</x:v>
      </x:c>
      <x:c r="D35" s="31" t="str">
        <x:v>CASE-001</x:v>
      </x:c>
      <x:c r="E35" s="31" t="str">
        <x:v>ORG-INFRA</x:v>
      </x:c>
      <x:c r="F35" s="31" t="str">
        <x:v>ERP</x:v>
      </x:c>
      <x:c r="G35" s="31" t="str">
        <x:v>DEMAND-001</x:v>
      </x:c>
      <x:c r="H35" s="69" t="n">
        <x:v>46023</x:v>
      </x:c>
      <x:c r="I35" s="69"/>
      <x:c r="J35" s="31" t="str">
        <x:v>有效</x:v>
      </x:c>
      <x:c r="K35" s="31" t="str">
        <x:v>{"amount":5280000,"category":"算力服务器"}</x:v>
      </x:c>
    </x:row>
    <x:row r="36">
      <x:c r="A36" s="31" t="str">
        <x:v>DMD-002</x:v>
      </x:c>
      <x:c r="B36" s="31" t="str">
        <x:v>PROC.ProcurementDemand</x:v>
      </x:c>
      <x:c r="C36" s="31" t="str">
        <x:v>办公终端集中采购需求</x:v>
      </x:c>
      <x:c r="D36" s="31" t="str">
        <x:v>CASE-002</x:v>
      </x:c>
      <x:c r="E36" s="31" t="str">
        <x:v>ORG-PROC</x:v>
      </x:c>
      <x:c r="F36" s="31" t="str">
        <x:v>ERP</x:v>
      </x:c>
      <x:c r="G36" s="31" t="str">
        <x:v>DEMAND-002</x:v>
      </x:c>
      <x:c r="H36" s="69" t="n">
        <x:v>46023</x:v>
      </x:c>
      <x:c r="I36" s="69"/>
      <x:c r="J36" s="31" t="str">
        <x:v>有效</x:v>
      </x:c>
      <x:c r="K36" s="31" t="str">
        <x:v>{"amount":2160000,"category":"办公终端"}</x:v>
      </x:c>
    </x:row>
    <x:row r="37">
      <x:c r="A37" s="31" t="str">
        <x:v>DMD-003</x:v>
      </x:c>
      <x:c r="B37" s="31" t="str">
        <x:v>PROC.ProcurementDemand</x:v>
      </x:c>
      <x:c r="C37" s="31" t="str">
        <x:v>数据中台二期建设需求</x:v>
      </x:c>
      <x:c r="D37" s="31" t="str">
        <x:v>CASE-003</x:v>
      </x:c>
      <x:c r="E37" s="31" t="str">
        <x:v>ORG-DATA</x:v>
      </x:c>
      <x:c r="F37" s="31" t="str">
        <x:v>ERP</x:v>
      </x:c>
      <x:c r="G37" s="31" t="str">
        <x:v>DEMAND-003</x:v>
      </x:c>
      <x:c r="H37" s="69" t="n">
        <x:v>46023</x:v>
      </x:c>
      <x:c r="I37" s="69"/>
      <x:c r="J37" s="31" t="str">
        <x:v>有效</x:v>
      </x:c>
      <x:c r="K37" s="31" t="str">
        <x:v>{"amount":8600000,"category":"软件与集成"}</x:v>
      </x:c>
    </x:row>
    <x:row r="38">
      <x:c r="A38" s="31" t="str">
        <x:v>DMD-004</x:v>
      </x:c>
      <x:c r="B38" s="31" t="str">
        <x:v>PROC.ProcurementDemand</x:v>
      </x:c>
      <x:c r="C38" s="31" t="str">
        <x:v>核心网络安全设备需求</x:v>
      </x:c>
      <x:c r="D38" s="31" t="str">
        <x:v>CASE-004</x:v>
      </x:c>
      <x:c r="E38" s="31" t="str">
        <x:v>ORG-SEC</x:v>
      </x:c>
      <x:c r="F38" s="31" t="str">
        <x:v>ERP</x:v>
      </x:c>
      <x:c r="G38" s="31" t="str">
        <x:v>DEMAND-004</x:v>
      </x:c>
      <x:c r="H38" s="69" t="n">
        <x:v>46023</x:v>
      </x:c>
      <x:c r="I38" s="69"/>
      <x:c r="J38" s="31" t="str">
        <x:v>有效</x:v>
      </x:c>
      <x:c r="K38" s="31" t="str">
        <x:v>{"amount":12400000,"category":"网络安全设备"}</x:v>
      </x:c>
    </x:row>
    <x:row r="39">
      <x:c r="A39" s="31" t="str">
        <x:v>DMD-005</x:v>
      </x:c>
      <x:c r="B39" s="31" t="str">
        <x:v>PROC.ProcurementDemand</x:v>
      </x:c>
      <x:c r="C39" s="31" t="str">
        <x:v>云资源运维服务需求</x:v>
      </x:c>
      <x:c r="D39" s="31" t="str">
        <x:v>CASE-005</x:v>
      </x:c>
      <x:c r="E39" s="31" t="str">
        <x:v>ORG-OPS</x:v>
      </x:c>
      <x:c r="F39" s="31" t="str">
        <x:v>ERP</x:v>
      </x:c>
      <x:c r="G39" s="31" t="str">
        <x:v>DEMAND-005</x:v>
      </x:c>
      <x:c r="H39" s="69" t="n">
        <x:v>46023</x:v>
      </x:c>
      <x:c r="I39" s="69"/>
      <x:c r="J39" s="31" t="str">
        <x:v>有效</x:v>
      </x:c>
      <x:c r="K39" s="31" t="str">
        <x:v>{"amount":3200000,"category":"运维服务"}</x:v>
      </x:c>
    </x:row>
    <x:row r="40">
      <x:c r="A40" s="31" t="str">
        <x:v>DMD-006</x:v>
      </x:c>
      <x:c r="B40" s="31" t="str">
        <x:v>PROC.ProcurementDemand</x:v>
      </x:c>
      <x:c r="C40" s="31" t="str">
        <x:v>存储设备扩容需求</x:v>
      </x:c>
      <x:c r="D40" s="31" t="str">
        <x:v>CASE-006</x:v>
      </x:c>
      <x:c r="E40" s="31" t="str">
        <x:v>ORG-INFRA</x:v>
      </x:c>
      <x:c r="F40" s="31" t="str">
        <x:v>ERP</x:v>
      </x:c>
      <x:c r="G40" s="31" t="str">
        <x:v>DEMAND-006</x:v>
      </x:c>
      <x:c r="H40" s="69" t="n">
        <x:v>46023</x:v>
      </x:c>
      <x:c r="I40" s="69"/>
      <x:c r="J40" s="31" t="str">
        <x:v>有效</x:v>
      </x:c>
      <x:c r="K40" s="31" t="str">
        <x:v>{"amount":4860000,"category":"存储设备"}</x:v>
      </x:c>
    </x:row>
    <x:row r="41">
      <x:c r="A41" s="31" t="str">
        <x:v>DMD-007</x:v>
      </x:c>
      <x:c r="B41" s="31" t="str">
        <x:v>PROC.ProcurementDemand</x:v>
      </x:c>
      <x:c r="C41" s="31" t="str">
        <x:v>安全运营服务需求</x:v>
      </x:c>
      <x:c r="D41" s="31" t="str">
        <x:v>CASE-007</x:v>
      </x:c>
      <x:c r="E41" s="31" t="str">
        <x:v>ORG-SEC</x:v>
      </x:c>
      <x:c r="F41" s="31" t="str">
        <x:v>ERP</x:v>
      </x:c>
      <x:c r="G41" s="31" t="str">
        <x:v>DEMAND-007</x:v>
      </x:c>
      <x:c r="H41" s="69" t="n">
        <x:v>46023</x:v>
      </x:c>
      <x:c r="I41" s="69"/>
      <x:c r="J41" s="31" t="str">
        <x:v>有效</x:v>
      </x:c>
      <x:c r="K41" s="31" t="str">
        <x:v>{"amount":6800000,"category":"安全服务"}</x:v>
      </x:c>
    </x:row>
    <x:row r="42">
      <x:c r="A42" s="31" t="str">
        <x:v>DMD-008</x:v>
      </x:c>
      <x:c r="B42" s="31" t="str">
        <x:v>PROC.ProcurementDemand</x:v>
      </x:c>
      <x:c r="C42" s="31" t="str">
        <x:v>通用服务器框架需求</x:v>
      </x:c>
      <x:c r="D42" s="31" t="str">
        <x:v>CASE-008</x:v>
      </x:c>
      <x:c r="E42" s="31" t="str">
        <x:v>ORG-INFRA</x:v>
      </x:c>
      <x:c r="F42" s="31" t="str">
        <x:v>ERP</x:v>
      </x:c>
      <x:c r="G42" s="31" t="str">
        <x:v>DEMAND-008</x:v>
      </x:c>
      <x:c r="H42" s="69" t="n">
        <x:v>46023</x:v>
      </x:c>
      <x:c r="I42" s="69"/>
      <x:c r="J42" s="31" t="str">
        <x:v>有效</x:v>
      </x:c>
      <x:c r="K42" s="31" t="str">
        <x:v>{"amount":9800000,"category":"通用服务器"}</x:v>
      </x:c>
    </x:row>
    <x:row r="43">
      <x:c r="A43" s="31" t="str">
        <x:v>PLAN-001</x:v>
      </x:c>
      <x:c r="B43" s="31" t="str">
        <x:v>PROC.ProcurementPlan</x:v>
      </x:c>
      <x:c r="C43" s="31" t="str">
        <x:v>智能算力采购方案</x:v>
      </x:c>
      <x:c r="D43" s="31" t="str">
        <x:v>CASE-001</x:v>
      </x:c>
      <x:c r="E43" s="31" t="str">
        <x:v>ORG-INFRA</x:v>
      </x:c>
      <x:c r="F43" s="31" t="str">
        <x:v>ERP</x:v>
      </x:c>
      <x:c r="G43" s="31" t="str">
        <x:v>PLAN-001</x:v>
      </x:c>
      <x:c r="H43" s="69" t="n">
        <x:v>46023</x:v>
      </x:c>
      <x:c r="I43" s="69"/>
      <x:c r="J43" s="31" t="str">
        <x:v>有效</x:v>
      </x:c>
      <x:c r="K43" s="31" t="str">
        <x:v>{"plan_amount":5280000,"procurement_method":"竞争性谈判","required_method":"公开招标","exception_approval_no":""}</x:v>
      </x:c>
    </x:row>
    <x:row r="44">
      <x:c r="A44" s="31" t="str">
        <x:v>PLAN-002A</x:v>
      </x:c>
      <x:c r="B44" s="31" t="str">
        <x:v>PROC.ProcurementPlan</x:v>
      </x:c>
      <x:c r="C44" s="31" t="str">
        <x:v>办公终端第一批采购方案</x:v>
      </x:c>
      <x:c r="D44" s="31" t="str">
        <x:v>CASE-002</x:v>
      </x:c>
      <x:c r="E44" s="31" t="str">
        <x:v>ORG-PROC</x:v>
      </x:c>
      <x:c r="F44" s="31" t="str">
        <x:v>ERP</x:v>
      </x:c>
      <x:c r="G44" s="31" t="str">
        <x:v>PLAN-002A</x:v>
      </x:c>
      <x:c r="H44" s="69" t="n">
        <x:v>46023</x:v>
      </x:c>
      <x:c r="I44" s="69"/>
      <x:c r="J44" s="31" t="str">
        <x:v>有效</x:v>
      </x:c>
      <x:c r="K44" s="31" t="str">
        <x:v>{"plan_amount":720000,"procurement_method":"询价采购","required_method":"集中采购","exception_approval_no":""}</x:v>
      </x:c>
    </x:row>
    <x:row r="45">
      <x:c r="A45" s="31" t="str">
        <x:v>PLAN-002B</x:v>
      </x:c>
      <x:c r="B45" s="31" t="str">
        <x:v>PROC.ProcurementPlan</x:v>
      </x:c>
      <x:c r="C45" s="31" t="str">
        <x:v>办公终端第二批采购方案</x:v>
      </x:c>
      <x:c r="D45" s="31" t="str">
        <x:v>CASE-002</x:v>
      </x:c>
      <x:c r="E45" s="31" t="str">
        <x:v>ORG-PROC</x:v>
      </x:c>
      <x:c r="F45" s="31" t="str">
        <x:v>ERP</x:v>
      </x:c>
      <x:c r="G45" s="31" t="str">
        <x:v>PLAN-002B</x:v>
      </x:c>
      <x:c r="H45" s="69" t="n">
        <x:v>46023</x:v>
      </x:c>
      <x:c r="I45" s="69"/>
      <x:c r="J45" s="31" t="str">
        <x:v>有效</x:v>
      </x:c>
      <x:c r="K45" s="31" t="str">
        <x:v>{"plan_amount":710000,"procurement_method":"询价采购","required_method":"集中采购","exception_approval_no":""}</x:v>
      </x:c>
    </x:row>
    <x:row r="46">
      <x:c r="A46" s="31" t="str">
        <x:v>PLAN-002C</x:v>
      </x:c>
      <x:c r="B46" s="31" t="str">
        <x:v>PROC.ProcurementPlan</x:v>
      </x:c>
      <x:c r="C46" s="31" t="str">
        <x:v>办公终端第三批采购方案</x:v>
      </x:c>
      <x:c r="D46" s="31" t="str">
        <x:v>CASE-002</x:v>
      </x:c>
      <x:c r="E46" s="31" t="str">
        <x:v>ORG-PROC</x:v>
      </x:c>
      <x:c r="F46" s="31" t="str">
        <x:v>ERP</x:v>
      </x:c>
      <x:c r="G46" s="31" t="str">
        <x:v>PLAN-002C</x:v>
      </x:c>
      <x:c r="H46" s="69" t="n">
        <x:v>46023</x:v>
      </x:c>
      <x:c r="I46" s="69"/>
      <x:c r="J46" s="31" t="str">
        <x:v>有效</x:v>
      </x:c>
      <x:c r="K46" s="31" t="str">
        <x:v>{"plan_amount":730000,"procurement_method":"询价采购","required_method":"集中采购","exception_approval_no":""}</x:v>
      </x:c>
    </x:row>
    <x:row r="47">
      <x:c r="A47" s="31" t="str">
        <x:v>PLAN-003</x:v>
      </x:c>
      <x:c r="B47" s="31" t="str">
        <x:v>PROC.ProcurementPlan</x:v>
      </x:c>
      <x:c r="C47" s="31" t="str">
        <x:v>数据中台二期招标方案</x:v>
      </x:c>
      <x:c r="D47" s="31" t="str">
        <x:v>CASE-003</x:v>
      </x:c>
      <x:c r="E47" s="31" t="str">
        <x:v>ORG-DATA</x:v>
      </x:c>
      <x:c r="F47" s="31" t="str">
        <x:v>ERP</x:v>
      </x:c>
      <x:c r="G47" s="31" t="str">
        <x:v>PLAN-003</x:v>
      </x:c>
      <x:c r="H47" s="69" t="n">
        <x:v>46023</x:v>
      </x:c>
      <x:c r="I47" s="69"/>
      <x:c r="J47" s="31" t="str">
        <x:v>有效</x:v>
      </x:c>
      <x:c r="K47" s="31" t="str">
        <x:v>{"plan_amount":8600000,"procurement_method":"公开招标","required_method":"公开招标","exception_approval_no":""}</x:v>
      </x:c>
    </x:row>
    <x:row r="48">
      <x:c r="A48" s="31" t="str">
        <x:v>PLAN-004</x:v>
      </x:c>
      <x:c r="B48" s="31" t="str">
        <x:v>PROC.ProcurementPlan</x:v>
      </x:c>
      <x:c r="C48" s="31" t="str">
        <x:v>核心网络安全设备招标方案</x:v>
      </x:c>
      <x:c r="D48" s="31" t="str">
        <x:v>CASE-004</x:v>
      </x:c>
      <x:c r="E48" s="31" t="str">
        <x:v>ORG-SEC</x:v>
      </x:c>
      <x:c r="F48" s="31" t="str">
        <x:v>ERP</x:v>
      </x:c>
      <x:c r="G48" s="31" t="str">
        <x:v>PLAN-004</x:v>
      </x:c>
      <x:c r="H48" s="69" t="n">
        <x:v>46023</x:v>
      </x:c>
      <x:c r="I48" s="69"/>
      <x:c r="J48" s="31" t="str">
        <x:v>有效</x:v>
      </x:c>
      <x:c r="K48" s="31" t="str">
        <x:v>{"plan_amount":12400000,"procurement_method":"公开招标","required_method":"公开招标","exception_approval_no":""}</x:v>
      </x:c>
    </x:row>
    <x:row r="49">
      <x:c r="A49" s="31" t="str">
        <x:v>PLAN-005</x:v>
      </x:c>
      <x:c r="B49" s="31" t="str">
        <x:v>PROC.ProcurementPlan</x:v>
      </x:c>
      <x:c r="C49" s="31" t="str">
        <x:v>云资源运维服务招标方案</x:v>
      </x:c>
      <x:c r="D49" s="31" t="str">
        <x:v>CASE-005</x:v>
      </x:c>
      <x:c r="E49" s="31" t="str">
        <x:v>ORG-OPS</x:v>
      </x:c>
      <x:c r="F49" s="31" t="str">
        <x:v>ERP</x:v>
      </x:c>
      <x:c r="G49" s="31" t="str">
        <x:v>PLAN-005</x:v>
      </x:c>
      <x:c r="H49" s="69" t="n">
        <x:v>46023</x:v>
      </x:c>
      <x:c r="I49" s="69"/>
      <x:c r="J49" s="31" t="str">
        <x:v>有效</x:v>
      </x:c>
      <x:c r="K49" s="31" t="str">
        <x:v>{"plan_amount":3200000,"procurement_method":"公开招标","required_method":"公开招标","exception_approval_no":""}</x:v>
      </x:c>
    </x:row>
    <x:row r="50">
      <x:c r="A50" s="31" t="str">
        <x:v>PLAN-006</x:v>
      </x:c>
      <x:c r="B50" s="31" t="str">
        <x:v>PROC.ProcurementPlan</x:v>
      </x:c>
      <x:c r="C50" s="31" t="str">
        <x:v>存储设备扩容招标方案</x:v>
      </x:c>
      <x:c r="D50" s="31" t="str">
        <x:v>CASE-006</x:v>
      </x:c>
      <x:c r="E50" s="31" t="str">
        <x:v>ORG-INFRA</x:v>
      </x:c>
      <x:c r="F50" s="31" t="str">
        <x:v>ERP</x:v>
      </x:c>
      <x:c r="G50" s="31" t="str">
        <x:v>PLAN-006</x:v>
      </x:c>
      <x:c r="H50" s="69" t="n">
        <x:v>46023</x:v>
      </x:c>
      <x:c r="I50" s="69"/>
      <x:c r="J50" s="31" t="str">
        <x:v>有效</x:v>
      </x:c>
      <x:c r="K50" s="31" t="str">
        <x:v>{"plan_amount":4860000,"procurement_method":"公开招标","required_method":"公开招标","exception_approval_no":""}</x:v>
      </x:c>
    </x:row>
    <x:row r="51">
      <x:c r="A51" s="31" t="str">
        <x:v>PLAN-007</x:v>
      </x:c>
      <x:c r="B51" s="31" t="str">
        <x:v>PROC.ProcurementPlan</x:v>
      </x:c>
      <x:c r="C51" s="31" t="str">
        <x:v>安全运营服务招标方案</x:v>
      </x:c>
      <x:c r="D51" s="31" t="str">
        <x:v>CASE-007</x:v>
      </x:c>
      <x:c r="E51" s="31" t="str">
        <x:v>ORG-SEC</x:v>
      </x:c>
      <x:c r="F51" s="31" t="str">
        <x:v>ERP</x:v>
      </x:c>
      <x:c r="G51" s="31" t="str">
        <x:v>PLAN-007</x:v>
      </x:c>
      <x:c r="H51" s="69" t="n">
        <x:v>46023</x:v>
      </x:c>
      <x:c r="I51" s="69"/>
      <x:c r="J51" s="31" t="str">
        <x:v>有效</x:v>
      </x:c>
      <x:c r="K51" s="31" t="str">
        <x:v>{"plan_amount":6800000,"procurement_method":"公开招标","required_method":"公开招标","exception_approval_no":""}</x:v>
      </x:c>
    </x:row>
    <x:row r="52">
      <x:c r="A52" s="31" t="str">
        <x:v>PLAN-008</x:v>
      </x:c>
      <x:c r="B52" s="31" t="str">
        <x:v>PROC.ProcurementPlan</x:v>
      </x:c>
      <x:c r="C52" s="31" t="str">
        <x:v>通用服务器框架招标方案</x:v>
      </x:c>
      <x:c r="D52" s="31" t="str">
        <x:v>CASE-008</x:v>
      </x:c>
      <x:c r="E52" s="31" t="str">
        <x:v>ORG-INFRA</x:v>
      </x:c>
      <x:c r="F52" s="31" t="str">
        <x:v>ERP</x:v>
      </x:c>
      <x:c r="G52" s="31" t="str">
        <x:v>PLAN-008</x:v>
      </x:c>
      <x:c r="H52" s="69" t="n">
        <x:v>46023</x:v>
      </x:c>
      <x:c r="I52" s="69"/>
      <x:c r="J52" s="31" t="str">
        <x:v>有效</x:v>
      </x:c>
      <x:c r="K52" s="31" t="str">
        <x:v>{"plan_amount":9800000,"procurement_method":"公开招标","required_method":"公开招标","exception_approval_no":"OA-EX-2026-008"}</x:v>
      </x:c>
    </x:row>
    <x:row r="53">
      <x:c r="A53" s="31" t="str">
        <x:v>BUD-001</x:v>
      </x:c>
      <x:c r="B53" s="31" t="str">
        <x:v>PROC.BudgetApproval</x:v>
      </x:c>
      <x:c r="C53" s="31" t="str">
        <x:v>智能算力节点预算批复</x:v>
      </x:c>
      <x:c r="D53" s="31" t="str">
        <x:v>CASE-001</x:v>
      </x:c>
      <x:c r="E53" s="31" t="str">
        <x:v>ORG-INFRA</x:v>
      </x:c>
      <x:c r="F53" s="31" t="str">
        <x:v>OA</x:v>
      </x:c>
      <x:c r="G53" s="31" t="str">
        <x:v>BUD-001</x:v>
      </x:c>
      <x:c r="H53" s="69" t="n">
        <x:v>46023</x:v>
      </x:c>
      <x:c r="I53" s="69"/>
      <x:c r="J53" s="31" t="str">
        <x:v>有效</x:v>
      </x:c>
      <x:c r="K53" s="31" t="str">
        <x:v>{"approved_amount":5500000,"approval_status":"已通过","approved_at":"2026-06-30 10:00:00"}</x:v>
      </x:c>
    </x:row>
    <x:row r="54">
      <x:c r="A54" s="31" t="str">
        <x:v>BUD-002</x:v>
      </x:c>
      <x:c r="B54" s="31" t="str">
        <x:v>PROC.BudgetApproval</x:v>
      </x:c>
      <x:c r="C54" s="31" t="str">
        <x:v>办公终端集中采购预算批复</x:v>
      </x:c>
      <x:c r="D54" s="31" t="str">
        <x:v>CASE-002</x:v>
      </x:c>
      <x:c r="E54" s="31" t="str">
        <x:v>ORG-PROC</x:v>
      </x:c>
      <x:c r="F54" s="31" t="str">
        <x:v>OA</x:v>
      </x:c>
      <x:c r="G54" s="31" t="str">
        <x:v>BUD-002</x:v>
      </x:c>
      <x:c r="H54" s="69" t="n">
        <x:v>46023</x:v>
      </x:c>
      <x:c r="I54" s="69"/>
      <x:c r="J54" s="31" t="str">
        <x:v>有效</x:v>
      </x:c>
      <x:c r="K54" s="31" t="str">
        <x:v>{"approved_amount":2160000,"approval_status":"已通过","approved_at":"2026-06-05 10:00:00"}</x:v>
      </x:c>
    </x:row>
    <x:row r="55">
      <x:c r="A55" s="31" t="str">
        <x:v>BUD-003</x:v>
      </x:c>
      <x:c r="B55" s="31" t="str">
        <x:v>PROC.BudgetApproval</x:v>
      </x:c>
      <x:c r="C55" s="31" t="str">
        <x:v>数据中台二期预算批复</x:v>
      </x:c>
      <x:c r="D55" s="31" t="str">
        <x:v>CASE-003</x:v>
      </x:c>
      <x:c r="E55" s="31" t="str">
        <x:v>ORG-DATA</x:v>
      </x:c>
      <x:c r="F55" s="31" t="str">
        <x:v>OA</x:v>
      </x:c>
      <x:c r="G55" s="31" t="str">
        <x:v>BUD-003</x:v>
      </x:c>
      <x:c r="H55" s="69" t="n">
        <x:v>46023</x:v>
      </x:c>
      <x:c r="I55" s="69"/>
      <x:c r="J55" s="31" t="str">
        <x:v>有效</x:v>
      </x:c>
      <x:c r="K55" s="31" t="str">
        <x:v>{"approved_amount":8800000,"approval_status":"已通过","approved_at":"2026-05-20 09:30:00"}</x:v>
      </x:c>
    </x:row>
    <x:row r="56">
      <x:c r="A56" s="31" t="str">
        <x:v>BUD-004</x:v>
      </x:c>
      <x:c r="B56" s="31" t="str">
        <x:v>PROC.BudgetApproval</x:v>
      </x:c>
      <x:c r="C56" s="31" t="str">
        <x:v>核心网络安全设备预算批复</x:v>
      </x:c>
      <x:c r="D56" s="31" t="str">
        <x:v>CASE-004</x:v>
      </x:c>
      <x:c r="E56" s="31" t="str">
        <x:v>ORG-SEC</x:v>
      </x:c>
      <x:c r="F56" s="31" t="str">
        <x:v>OA</x:v>
      </x:c>
      <x:c r="G56" s="31" t="str">
        <x:v>BUD-004</x:v>
      </x:c>
      <x:c r="H56" s="69" t="n">
        <x:v>46023</x:v>
      </x:c>
      <x:c r="I56" s="69"/>
      <x:c r="J56" s="31" t="str">
        <x:v>有效</x:v>
      </x:c>
      <x:c r="K56" s="31" t="str">
        <x:v>{"approved_amount":12500000,"approval_status":"已通过","approved_at":"2026-05-01 14:00:00"}</x:v>
      </x:c>
    </x:row>
    <x:row r="57">
      <x:c r="A57" s="31" t="str">
        <x:v>BUD-005</x:v>
      </x:c>
      <x:c r="B57" s="31" t="str">
        <x:v>PROC.BudgetApproval</x:v>
      </x:c>
      <x:c r="C57" s="31" t="str">
        <x:v>云资源运维服务预算批复</x:v>
      </x:c>
      <x:c r="D57" s="31" t="str">
        <x:v>CASE-005</x:v>
      </x:c>
      <x:c r="E57" s="31" t="str">
        <x:v>ORG-OPS</x:v>
      </x:c>
      <x:c r="F57" s="31" t="str">
        <x:v>OA</x:v>
      </x:c>
      <x:c r="G57" s="31" t="str">
        <x:v>BUD-005</x:v>
      </x:c>
      <x:c r="H57" s="69" t="n">
        <x:v>46023</x:v>
      </x:c>
      <x:c r="I57" s="69"/>
      <x:c r="J57" s="31" t="str">
        <x:v>有效</x:v>
      </x:c>
      <x:c r="K57" s="31" t="str">
        <x:v>{"approved_amount":3200000,"approval_status":"已通过","approved_at":"2026-06-08 16:00:00"}</x:v>
      </x:c>
    </x:row>
    <x:row r="58">
      <x:c r="A58" s="31" t="str">
        <x:v>BUD-006</x:v>
      </x:c>
      <x:c r="B58" s="31" t="str">
        <x:v>PROC.BudgetApproval</x:v>
      </x:c>
      <x:c r="C58" s="31" t="str">
        <x:v>存储设备扩容预算批复</x:v>
      </x:c>
      <x:c r="D58" s="31" t="str">
        <x:v>CASE-006</x:v>
      </x:c>
      <x:c r="E58" s="31" t="str">
        <x:v>ORG-INFRA</x:v>
      </x:c>
      <x:c r="F58" s="31" t="str">
        <x:v>OA</x:v>
      </x:c>
      <x:c r="G58" s="31" t="str">
        <x:v>BUD-006</x:v>
      </x:c>
      <x:c r="H58" s="69" t="n">
        <x:v>46023</x:v>
      </x:c>
      <x:c r="I58" s="69"/>
      <x:c r="J58" s="31" t="str">
        <x:v>有效</x:v>
      </x:c>
      <x:c r="K58" s="31" t="str">
        <x:v>{"approved_amount":5000000,"approval_status":"已通过","approved_at":"2026-04-20 11:00:00"}</x:v>
      </x:c>
    </x:row>
    <x:row r="59">
      <x:c r="A59" s="31" t="str">
        <x:v>BUD-007</x:v>
      </x:c>
      <x:c r="B59" s="31" t="str">
        <x:v>PROC.BudgetApproval</x:v>
      </x:c>
      <x:c r="C59" s="31" t="str">
        <x:v>安全运营服务预算批复</x:v>
      </x:c>
      <x:c r="D59" s="31" t="str">
        <x:v>CASE-007</x:v>
      </x:c>
      <x:c r="E59" s="31" t="str">
        <x:v>ORG-SEC</x:v>
      </x:c>
      <x:c r="F59" s="31" t="str">
        <x:v>OA</x:v>
      </x:c>
      <x:c r="G59" s="31" t="str">
        <x:v>BUD-007</x:v>
      </x:c>
      <x:c r="H59" s="69" t="n">
        <x:v>46023</x:v>
      </x:c>
      <x:c r="I59" s="69"/>
      <x:c r="J59" s="31" t="str">
        <x:v>有效</x:v>
      </x:c>
      <x:c r="K59" s="31" t="str">
        <x:v>{"approved_amount":7000000,"approval_status":"已通过","approved_at":"2026-04-01 10:00:00"}</x:v>
      </x:c>
    </x:row>
    <x:row r="60">
      <x:c r="A60" s="31" t="str">
        <x:v>BUD-008</x:v>
      </x:c>
      <x:c r="B60" s="31" t="str">
        <x:v>PROC.BudgetApproval</x:v>
      </x:c>
      <x:c r="C60" s="31" t="str">
        <x:v>通用服务器框架预算批复</x:v>
      </x:c>
      <x:c r="D60" s="31" t="str">
        <x:v>CASE-008</x:v>
      </x:c>
      <x:c r="E60" s="31" t="str">
        <x:v>ORG-INFRA</x:v>
      </x:c>
      <x:c r="F60" s="31" t="str">
        <x:v>OA</x:v>
      </x:c>
      <x:c r="G60" s="31" t="str">
        <x:v>BUD-008</x:v>
      </x:c>
      <x:c r="H60" s="69" t="n">
        <x:v>46023</x:v>
      </x:c>
      <x:c r="I60" s="69"/>
      <x:c r="J60" s="31" t="str">
        <x:v>有效</x:v>
      </x:c>
      <x:c r="K60" s="31" t="str">
        <x:v>{"approved_amount":10000000,"approval_status":"已通过","approved_at":"2026-03-20 10:00:00"}</x:v>
      </x:c>
    </x:row>
    <x:row r="61">
      <x:c r="A61" s="31" t="str">
        <x:v>PRJ-001</x:v>
      </x:c>
      <x:c r="B61" s="31" t="str">
        <x:v>PROC.PurchaseProject</x:v>
      </x:c>
      <x:c r="C61" s="31" t="str">
        <x:v>智能算力节点扩容采购项目</x:v>
      </x:c>
      <x:c r="D61" s="31" t="str">
        <x:v>CASE-001</x:v>
      </x:c>
      <x:c r="E61" s="31" t="str">
        <x:v>ORG-INFRA</x:v>
      </x:c>
      <x:c r="F61" s="31" t="str">
        <x:v>ERP</x:v>
      </x:c>
      <x:c r="G61" s="31" t="str">
        <x:v>PRJ-001</x:v>
      </x:c>
      <x:c r="H61" s="69" t="n">
        <x:v>46023</x:v>
      </x:c>
      <x:c r="I61" s="69"/>
      <x:c r="J61" s="31" t="str">
        <x:v>有效</x:v>
      </x:c>
      <x:c r="K61" s="31" t="str">
        <x:v>{"project_code":"PRJ-001","estimated_amount":5280000,"procurement_method":"竞争性谈判","category":"算力服务器","created_at":"2026-07-02 09:00:00"}</x:v>
      </x:c>
    </x:row>
    <x:row r="62">
      <x:c r="A62" s="31" t="str">
        <x:v>PRJ-002A</x:v>
      </x:c>
      <x:c r="B62" s="31" t="str">
        <x:v>PROC.PurchaseProject</x:v>
      </x:c>
      <x:c r="C62" s="31" t="str">
        <x:v>办公终端采购第一批</x:v>
      </x:c>
      <x:c r="D62" s="31" t="str">
        <x:v>CASE-002</x:v>
      </x:c>
      <x:c r="E62" s="31" t="str">
        <x:v>ORG-PROC</x:v>
      </x:c>
      <x:c r="F62" s="31" t="str">
        <x:v>ERP</x:v>
      </x:c>
      <x:c r="G62" s="31" t="str">
        <x:v>PRJ-002A</x:v>
      </x:c>
      <x:c r="H62" s="69" t="n">
        <x:v>46023</x:v>
      </x:c>
      <x:c r="I62" s="69"/>
      <x:c r="J62" s="31" t="str">
        <x:v>有效</x:v>
      </x:c>
      <x:c r="K62" s="31" t="str">
        <x:v>{"project_code":"PRJ-002A","estimated_amount":720000,"procurement_method":"询价采购","category":"办公终端","created_at":"2026-06-10 09:00:00"}</x:v>
      </x:c>
    </x:row>
    <x:row r="63">
      <x:c r="A63" s="31" t="str">
        <x:v>PRJ-002B</x:v>
      </x:c>
      <x:c r="B63" s="31" t="str">
        <x:v>PROC.PurchaseProject</x:v>
      </x:c>
      <x:c r="C63" s="31" t="str">
        <x:v>办公终端采购第二批</x:v>
      </x:c>
      <x:c r="D63" s="31" t="str">
        <x:v>CASE-002</x:v>
      </x:c>
      <x:c r="E63" s="31" t="str">
        <x:v>ORG-PROC</x:v>
      </x:c>
      <x:c r="F63" s="31" t="str">
        <x:v>ERP</x:v>
      </x:c>
      <x:c r="G63" s="31" t="str">
        <x:v>PRJ-002B</x:v>
      </x:c>
      <x:c r="H63" s="69" t="n">
        <x:v>46023</x:v>
      </x:c>
      <x:c r="I63" s="69"/>
      <x:c r="J63" s="31" t="str">
        <x:v>有效</x:v>
      </x:c>
      <x:c r="K63" s="31" t="str">
        <x:v>{"project_code":"PRJ-002B","estimated_amount":710000,"procurement_method":"询价采购","category":"办公终端","created_at":"2026-06-18 09:00:00"}</x:v>
      </x:c>
    </x:row>
    <x:row r="64">
      <x:c r="A64" s="31" t="str">
        <x:v>PRJ-002C</x:v>
      </x:c>
      <x:c r="B64" s="31" t="str">
        <x:v>PROC.PurchaseProject</x:v>
      </x:c>
      <x:c r="C64" s="31" t="str">
        <x:v>办公终端采购第三批</x:v>
      </x:c>
      <x:c r="D64" s="31" t="str">
        <x:v>CASE-002</x:v>
      </x:c>
      <x:c r="E64" s="31" t="str">
        <x:v>ORG-PROC</x:v>
      </x:c>
      <x:c r="F64" s="31" t="str">
        <x:v>ERP</x:v>
      </x:c>
      <x:c r="G64" s="31" t="str">
        <x:v>PRJ-002C</x:v>
      </x:c>
      <x:c r="H64" s="69" t="n">
        <x:v>46023</x:v>
      </x:c>
      <x:c r="I64" s="69"/>
      <x:c r="J64" s="31" t="str">
        <x:v>有效</x:v>
      </x:c>
      <x:c r="K64" s="31" t="str">
        <x:v>{"project_code":"PRJ-002C","estimated_amount":730000,"procurement_method":"询价采购","category":"办公终端","created_at":"2026-06-28 09:00:00"}</x:v>
      </x:c>
    </x:row>
    <x:row r="65">
      <x:c r="A65" s="31" t="str">
        <x:v>PRJ-003</x:v>
      </x:c>
      <x:c r="B65" s="31" t="str">
        <x:v>PROC.PurchaseProject</x:v>
      </x:c>
      <x:c r="C65" s="31" t="str">
        <x:v>数据中台二期建设项目</x:v>
      </x:c>
      <x:c r="D65" s="31" t="str">
        <x:v>CASE-003</x:v>
      </x:c>
      <x:c r="E65" s="31" t="str">
        <x:v>ORG-DATA</x:v>
      </x:c>
      <x:c r="F65" s="31" t="str">
        <x:v>ERP</x:v>
      </x:c>
      <x:c r="G65" s="31" t="str">
        <x:v>PRJ-003</x:v>
      </x:c>
      <x:c r="H65" s="69" t="n">
        <x:v>46023</x:v>
      </x:c>
      <x:c r="I65" s="69"/>
      <x:c r="J65" s="31" t="str">
        <x:v>有效</x:v>
      </x:c>
      <x:c r="K65" s="31" t="str">
        <x:v>{"project_code":"PRJ-003","estimated_amount":8600000,"procurement_method":"公开招标","category":"软件与集成","created_at":"2026-05-25 09:00:00"}</x:v>
      </x:c>
    </x:row>
    <x:row r="66">
      <x:c r="A66" s="31" t="str">
        <x:v>PRJ-004</x:v>
      </x:c>
      <x:c r="B66" s="31" t="str">
        <x:v>PROC.PurchaseProject</x:v>
      </x:c>
      <x:c r="C66" s="31" t="str">
        <x:v>核心网络安全设备采购项目</x:v>
      </x:c>
      <x:c r="D66" s="31" t="str">
        <x:v>CASE-004</x:v>
      </x:c>
      <x:c r="E66" s="31" t="str">
        <x:v>ORG-SEC</x:v>
      </x:c>
      <x:c r="F66" s="31" t="str">
        <x:v>ERP</x:v>
      </x:c>
      <x:c r="G66" s="31" t="str">
        <x:v>PRJ-004</x:v>
      </x:c>
      <x:c r="H66" s="69" t="n">
        <x:v>46023</x:v>
      </x:c>
      <x:c r="I66" s="69"/>
      <x:c r="J66" s="31" t="str">
        <x:v>有效</x:v>
      </x:c>
      <x:c r="K66" s="31" t="str">
        <x:v>{"project_code":"PRJ-004","estimated_amount":12400000,"procurement_method":"公开招标","category":"网络安全设备","created_at":"2026-05-03 09:00:00"}</x:v>
      </x:c>
    </x:row>
    <x:row r="67">
      <x:c r="A67" s="31" t="str">
        <x:v>PRJ-005</x:v>
      </x:c>
      <x:c r="B67" s="31" t="str">
        <x:v>PROC.PurchaseProject</x:v>
      </x:c>
      <x:c r="C67" s="31" t="str">
        <x:v>云资源运维服务采购项目</x:v>
      </x:c>
      <x:c r="D67" s="31" t="str">
        <x:v>CASE-005</x:v>
      </x:c>
      <x:c r="E67" s="31" t="str">
        <x:v>ORG-OPS</x:v>
      </x:c>
      <x:c r="F67" s="31" t="str">
        <x:v>ERP</x:v>
      </x:c>
      <x:c r="G67" s="31" t="str">
        <x:v>PRJ-005</x:v>
      </x:c>
      <x:c r="H67" s="69" t="n">
        <x:v>46023</x:v>
      </x:c>
      <x:c r="I67" s="69"/>
      <x:c r="J67" s="31" t="str">
        <x:v>有效</x:v>
      </x:c>
      <x:c r="K67" s="31" t="str">
        <x:v>{"project_code":"PRJ-005","estimated_amount":3200000,"procurement_method":"公开招标","category":"运维服务","created_at":"2026-06-01 09:00:00"}</x:v>
      </x:c>
    </x:row>
    <x:row r="68">
      <x:c r="A68" s="31" t="str">
        <x:v>PRJ-006</x:v>
      </x:c>
      <x:c r="B68" s="31" t="str">
        <x:v>PROC.PurchaseProject</x:v>
      </x:c>
      <x:c r="C68" s="31" t="str">
        <x:v>存储设备扩容采购项目</x:v>
      </x:c>
      <x:c r="D68" s="31" t="str">
        <x:v>CASE-006</x:v>
      </x:c>
      <x:c r="E68" s="31" t="str">
        <x:v>ORG-INFRA</x:v>
      </x:c>
      <x:c r="F68" s="31" t="str">
        <x:v>ERP</x:v>
      </x:c>
      <x:c r="G68" s="31" t="str">
        <x:v>PRJ-006</x:v>
      </x:c>
      <x:c r="H68" s="69" t="n">
        <x:v>46023</x:v>
      </x:c>
      <x:c r="I68" s="69"/>
      <x:c r="J68" s="31" t="str">
        <x:v>有效</x:v>
      </x:c>
      <x:c r="K68" s="31" t="str">
        <x:v>{"project_code":"PRJ-006","estimated_amount":4860000,"procurement_method":"公开招标","category":"存储设备","created_at":"2026-04-22 09:00:00"}</x:v>
      </x:c>
    </x:row>
    <x:row r="69">
      <x:c r="A69" s="31" t="str">
        <x:v>PRJ-007</x:v>
      </x:c>
      <x:c r="B69" s="31" t="str">
        <x:v>PROC.PurchaseProject</x:v>
      </x:c>
      <x:c r="C69" s="31" t="str">
        <x:v>安全运营服务采购项目</x:v>
      </x:c>
      <x:c r="D69" s="31" t="str">
        <x:v>CASE-007</x:v>
      </x:c>
      <x:c r="E69" s="31" t="str">
        <x:v>ORG-SEC</x:v>
      </x:c>
      <x:c r="F69" s="31" t="str">
        <x:v>ERP</x:v>
      </x:c>
      <x:c r="G69" s="31" t="str">
        <x:v>PRJ-007</x:v>
      </x:c>
      <x:c r="H69" s="69" t="n">
        <x:v>46023</x:v>
      </x:c>
      <x:c r="I69" s="69"/>
      <x:c r="J69" s="31" t="str">
        <x:v>有效</x:v>
      </x:c>
      <x:c r="K69" s="31" t="str">
        <x:v>{"project_code":"PRJ-007","estimated_amount":6800000,"procurement_method":"公开招标","category":"安全服务","created_at":"2026-04-03 09:00:00"}</x:v>
      </x:c>
    </x:row>
    <x:row r="70">
      <x:c r="A70" s="31" t="str">
        <x:v>PRJ-008</x:v>
      </x:c>
      <x:c r="B70" s="31" t="str">
        <x:v>PROC.PurchaseProject</x:v>
      </x:c>
      <x:c r="C70" s="31" t="str">
        <x:v>通用服务器框架采购项目</x:v>
      </x:c>
      <x:c r="D70" s="31" t="str">
        <x:v>CASE-008</x:v>
      </x:c>
      <x:c r="E70" s="31" t="str">
        <x:v>ORG-INFRA</x:v>
      </x:c>
      <x:c r="F70" s="31" t="str">
        <x:v>ERP</x:v>
      </x:c>
      <x:c r="G70" s="31" t="str">
        <x:v>PRJ-008</x:v>
      </x:c>
      <x:c r="H70" s="69" t="n">
        <x:v>46023</x:v>
      </x:c>
      <x:c r="I70" s="69"/>
      <x:c r="J70" s="31" t="str">
        <x:v>有效</x:v>
      </x:c>
      <x:c r="K70" s="31" t="str">
        <x:v>{"project_code":"PRJ-008","estimated_amount":9800000,"procurement_method":"公开招标","category":"通用服务器","created_at":"2026-03-25 09:00:00"}</x:v>
      </x:c>
    </x:row>
    <x:row r="71">
      <x:c r="A71" s="31" t="str">
        <x:v>ANN-003</x:v>
      </x:c>
      <x:c r="B71" s="31" t="str">
        <x:v>PROC.TenderAnnouncement</x:v>
      </x:c>
      <x:c r="C71" s="31" t="str">
        <x:v>数据中台二期招标公告</x:v>
      </x:c>
      <x:c r="D71" s="31" t="str">
        <x:v>CASE-003</x:v>
      </x:c>
      <x:c r="E71" s="31" t="str">
        <x:v>ORG-DATA</x:v>
      </x:c>
      <x:c r="F71" s="31" t="str">
        <x:v>EProcurement</x:v>
      </x:c>
      <x:c r="G71" s="31" t="str">
        <x:v>ANN-003</x:v>
      </x:c>
      <x:c r="H71" s="69" t="n">
        <x:v>46023</x:v>
      </x:c>
      <x:c r="I71" s="69"/>
      <x:c r="J71" s="31" t="str">
        <x:v>有效</x:v>
      </x:c>
      <x:c r="K71" s="31" t="str">
        <x:v>{"publish_at":"2026-06-01 09:00:00","bid_deadline":"2026-06-22 17:00:00","minimum_days":20}</x:v>
      </x:c>
    </x:row>
    <x:row r="72">
      <x:c r="A72" s="31" t="str">
        <x:v>ANN-004</x:v>
      </x:c>
      <x:c r="B72" s="31" t="str">
        <x:v>PROC.TenderAnnouncement</x:v>
      </x:c>
      <x:c r="C72" s="31" t="str">
        <x:v>核心网络安全设备招标公告</x:v>
      </x:c>
      <x:c r="D72" s="31" t="str">
        <x:v>CASE-004</x:v>
      </x:c>
      <x:c r="E72" s="31" t="str">
        <x:v>ORG-SEC</x:v>
      </x:c>
      <x:c r="F72" s="31" t="str">
        <x:v>EProcurement</x:v>
      </x:c>
      <x:c r="G72" s="31" t="str">
        <x:v>ANN-004</x:v>
      </x:c>
      <x:c r="H72" s="69" t="n">
        <x:v>46023</x:v>
      </x:c>
      <x:c r="I72" s="69"/>
      <x:c r="J72" s="31" t="str">
        <x:v>有效</x:v>
      </x:c>
      <x:c r="K72" s="31" t="str">
        <x:v>{"publish_at":"2026-05-08 09:00:00","bid_deadline":"2026-05-29 17:00:00","minimum_days":20}</x:v>
      </x:c>
    </x:row>
    <x:row r="73">
      <x:c r="A73" s="31" t="str">
        <x:v>ANN-005</x:v>
      </x:c>
      <x:c r="B73" s="31" t="str">
        <x:v>PROC.TenderAnnouncement</x:v>
      </x:c>
      <x:c r="C73" s="31" t="str">
        <x:v>云资源运维服务招标公告</x:v>
      </x:c>
      <x:c r="D73" s="31" t="str">
        <x:v>CASE-005</x:v>
      </x:c>
      <x:c r="E73" s="31" t="str">
        <x:v>ORG-OPS</x:v>
      </x:c>
      <x:c r="F73" s="31" t="str">
        <x:v>EProcurement</x:v>
      </x:c>
      <x:c r="G73" s="31" t="str">
        <x:v>ANN-005</x:v>
      </x:c>
      <x:c r="H73" s="69" t="n">
        <x:v>46023</x:v>
      </x:c>
      <x:c r="I73" s="69"/>
      <x:c r="J73" s="31" t="str">
        <x:v>有效</x:v>
      </x:c>
      <x:c r="K73" s="31" t="str">
        <x:v>{"publish_at":"2026-06-02 09:00:00","bid_deadline":"2026-06-09 09:00:00","minimum_days":20}</x:v>
      </x:c>
    </x:row>
    <x:row r="74">
      <x:c r="A74" s="31" t="str">
        <x:v>ANN-007</x:v>
      </x:c>
      <x:c r="B74" s="31" t="str">
        <x:v>PROC.TenderAnnouncement</x:v>
      </x:c>
      <x:c r="C74" s="31" t="str">
        <x:v>安全运营服务招标公告</x:v>
      </x:c>
      <x:c r="D74" s="31" t="str">
        <x:v>CASE-007</x:v>
      </x:c>
      <x:c r="E74" s="31" t="str">
        <x:v>ORG-SEC</x:v>
      </x:c>
      <x:c r="F74" s="31" t="str">
        <x:v>EProcurement</x:v>
      </x:c>
      <x:c r="G74" s="31" t="str">
        <x:v>ANN-007</x:v>
      </x:c>
      <x:c r="H74" s="69" t="n">
        <x:v>46023</x:v>
      </x:c>
      <x:c r="I74" s="69"/>
      <x:c r="J74" s="31" t="str">
        <x:v>有效</x:v>
      </x:c>
      <x:c r="K74" s="31" t="str">
        <x:v>{"publish_at":"2026-04-05 09:00:00","bid_deadline":"2026-04-19 17:00:00","minimum_days":20}</x:v>
      </x:c>
    </x:row>
    <x:row r="75">
      <x:c r="A75" s="31" t="str">
        <x:v>ANN-008</x:v>
      </x:c>
      <x:c r="B75" s="31" t="str">
        <x:v>PROC.TenderAnnouncement</x:v>
      </x:c>
      <x:c r="C75" s="31" t="str">
        <x:v>通用服务器框架招标公告</x:v>
      </x:c>
      <x:c r="D75" s="31" t="str">
        <x:v>CASE-008</x:v>
      </x:c>
      <x:c r="E75" s="31" t="str">
        <x:v>ORG-INFRA</x:v>
      </x:c>
      <x:c r="F75" s="31" t="str">
        <x:v>EProcurement</x:v>
      </x:c>
      <x:c r="G75" s="31" t="str">
        <x:v>ANN-008</x:v>
      </x:c>
      <x:c r="H75" s="69" t="n">
        <x:v>46023</x:v>
      </x:c>
      <x:c r="I75" s="69"/>
      <x:c r="J75" s="31" t="str">
        <x:v>有效</x:v>
      </x:c>
      <x:c r="K75" s="31" t="str">
        <x:v>{"publish_at":"2026-04-01 09:00:00","bid_deadline":"2026-04-23 17:00:00","minimum_days":20}</x:v>
      </x:c>
    </x:row>
    <x:row r="76">
      <x:c r="A76" s="31" t="str">
        <x:v>BID-003A</x:v>
      </x:c>
      <x:c r="B76" s="31" t="str">
        <x:v>PROC.Bid</x:v>
      </x:c>
      <x:c r="C76" s="31" t="str">
        <x:v>华夏数智投标</x:v>
      </x:c>
      <x:c r="D76" s="31" t="str">
        <x:v>CASE-003</x:v>
      </x:c>
      <x:c r="E76" s="31" t="str"/>
      <x:c r="F76" s="31" t="str">
        <x:v>EProcurement</x:v>
      </x:c>
      <x:c r="G76" s="31" t="str">
        <x:v>BID-003A</x:v>
      </x:c>
      <x:c r="H76" s="69" t="n">
        <x:v>46023</x:v>
      </x:c>
      <x:c r="I76" s="69"/>
      <x:c r="J76" s="31" t="str">
        <x:v>有效</x:v>
      </x:c>
      <x:c r="K76" s="31" t="str">
        <x:v>{"supplier_id":"SUP-C003","bid_amount":8420000,"submit_at":"2026-06-22 09:02:00","status":"有效"}</x:v>
      </x:c>
    </x:row>
    <x:row r="77">
      <x:c r="A77" s="31" t="str">
        <x:v>BID-003B</x:v>
      </x:c>
      <x:c r="B77" s="31" t="str">
        <x:v>PROC.Bid</x:v>
      </x:c>
      <x:c r="C77" s="31" t="str">
        <x:v>中科云联投标</x:v>
      </x:c>
      <x:c r="D77" s="31" t="str">
        <x:v>CASE-003</x:v>
      </x:c>
      <x:c r="E77" s="31" t="str"/>
      <x:c r="F77" s="31" t="str">
        <x:v>EProcurement</x:v>
      </x:c>
      <x:c r="G77" s="31" t="str">
        <x:v>BID-003B</x:v>
      </x:c>
      <x:c r="H77" s="69" t="n">
        <x:v>46023</x:v>
      </x:c>
      <x:c r="I77" s="69"/>
      <x:c r="J77" s="31" t="str">
        <x:v>有效</x:v>
      </x:c>
      <x:c r="K77" s="31" t="str">
        <x:v>{"supplier_id":"SUP-C004","bid_amount":8510000,"submit_at":"2026-06-22 09:05:00","status":"有效"}</x:v>
      </x:c>
    </x:row>
    <x:row r="78">
      <x:c r="A78" s="31" t="str">
        <x:v>BID-003C</x:v>
      </x:c>
      <x:c r="B78" s="31" t="str">
        <x:v>PROC.Bid</x:v>
      </x:c>
      <x:c r="C78" s="31" t="str">
        <x:v>国信软件投标</x:v>
      </x:c>
      <x:c r="D78" s="31" t="str">
        <x:v>CASE-003</x:v>
      </x:c>
      <x:c r="E78" s="31" t="str"/>
      <x:c r="F78" s="31" t="str">
        <x:v>EProcurement</x:v>
      </x:c>
      <x:c r="G78" s="31" t="str">
        <x:v>BID-003C</x:v>
      </x:c>
      <x:c r="H78" s="69" t="n">
        <x:v>46023</x:v>
      </x:c>
      <x:c r="I78" s="69"/>
      <x:c r="J78" s="31" t="str">
        <x:v>有效</x:v>
      </x:c>
      <x:c r="K78" s="31" t="str">
        <x:v>{"supplier_id":"SUP-C005","bid_amount":8560000,"submit_at":"2026-06-22 09:08:00","status":"有效"}</x:v>
      </x:c>
    </x:row>
    <x:row r="79">
      <x:c r="A79" s="31" t="str">
        <x:v>BID-004A</x:v>
      </x:c>
      <x:c r="B79" s="31" t="str">
        <x:v>PROC.Bid</x:v>
      </x:c>
      <x:c r="C79" s="31" t="str">
        <x:v>安信网络投标</x:v>
      </x:c>
      <x:c r="D79" s="31" t="str">
        <x:v>CASE-004</x:v>
      </x:c>
      <x:c r="E79" s="31" t="str"/>
      <x:c r="F79" s="31" t="str">
        <x:v>EProcurement</x:v>
      </x:c>
      <x:c r="G79" s="31" t="str">
        <x:v>BID-004A</x:v>
      </x:c>
      <x:c r="H79" s="69" t="n">
        <x:v>46023</x:v>
      </x:c>
      <x:c r="I79" s="69"/>
      <x:c r="J79" s="31" t="str">
        <x:v>有效</x:v>
      </x:c>
      <x:c r="K79" s="31" t="str">
        <x:v>{"supplier_id":"SUP-C006","bid_amount":12180000,"submit_at":"2026-05-29 13:20:00","status":"有效"}</x:v>
      </x:c>
    </x:row>
    <x:row r="80">
      <x:c r="A80" s="31" t="str">
        <x:v>BID-004B</x:v>
      </x:c>
      <x:c r="B80" s="31" t="str">
        <x:v>PROC.Bid</x:v>
      </x:c>
      <x:c r="C80" s="31" t="str">
        <x:v>博远信息投标</x:v>
      </x:c>
      <x:c r="D80" s="31" t="str">
        <x:v>CASE-004</x:v>
      </x:c>
      <x:c r="E80" s="31" t="str"/>
      <x:c r="F80" s="31" t="str">
        <x:v>EProcurement</x:v>
      </x:c>
      <x:c r="G80" s="31" t="str">
        <x:v>BID-004B</x:v>
      </x:c>
      <x:c r="H80" s="69" t="n">
        <x:v>46023</x:v>
      </x:c>
      <x:c r="I80" s="69"/>
      <x:c r="J80" s="31" t="str">
        <x:v>有效</x:v>
      </x:c>
      <x:c r="K80" s="31" t="str">
        <x:v>{"supplier_id":"SUP-C007","bid_amount":12210000,"submit_at":"2026-05-29 13:24:00","status":"有效"}</x:v>
      </x:c>
    </x:row>
    <x:row r="81">
      <x:c r="A81" s="31" t="str">
        <x:v>BID-004C</x:v>
      </x:c>
      <x:c r="B81" s="31" t="str">
        <x:v>PROC.Bid</x:v>
      </x:c>
      <x:c r="C81" s="31" t="str">
        <x:v>同创科技投标</x:v>
      </x:c>
      <x:c r="D81" s="31" t="str">
        <x:v>CASE-004</x:v>
      </x:c>
      <x:c r="E81" s="31" t="str"/>
      <x:c r="F81" s="31" t="str">
        <x:v>EProcurement</x:v>
      </x:c>
      <x:c r="G81" s="31" t="str">
        <x:v>BID-004C</x:v>
      </x:c>
      <x:c r="H81" s="69" t="n">
        <x:v>46023</x:v>
      </x:c>
      <x:c r="I81" s="69"/>
      <x:c r="J81" s="31" t="str">
        <x:v>有效</x:v>
      </x:c>
      <x:c r="K81" s="31" t="str">
        <x:v>{"supplier_id":"SUP-C008","bid_amount":12240000,"submit_at":"2026-05-29 13:27:00","status":"有效"}</x:v>
      </x:c>
    </x:row>
    <x:row r="82">
      <x:c r="A82" s="31" t="str">
        <x:v>BID-005A</x:v>
      </x:c>
      <x:c r="B82" s="31" t="str">
        <x:v>PROC.Bid</x:v>
      </x:c>
      <x:c r="C82" s="31" t="str">
        <x:v>云维科技投标</x:v>
      </x:c>
      <x:c r="D82" s="31" t="str">
        <x:v>CASE-005</x:v>
      </x:c>
      <x:c r="E82" s="31" t="str"/>
      <x:c r="F82" s="31" t="str">
        <x:v>EProcurement</x:v>
      </x:c>
      <x:c r="G82" s="31" t="str">
        <x:v>BID-005A</x:v>
      </x:c>
      <x:c r="H82" s="69" t="n">
        <x:v>46023</x:v>
      </x:c>
      <x:c r="I82" s="69"/>
      <x:c r="J82" s="31" t="str">
        <x:v>有效</x:v>
      </x:c>
      <x:c r="K82" s="31" t="str">
        <x:v>{"supplier_id":"SUP-C009","bid_amount":3150000,"submit_at":"2026-06-09 08:10:00","status":"有效"}</x:v>
      </x:c>
    </x:row>
    <x:row r="83">
      <x:c r="A83" s="31" t="str">
        <x:v>BID-007A</x:v>
      </x:c>
      <x:c r="B83" s="31" t="str">
        <x:v>PROC.Bid</x:v>
      </x:c>
      <x:c r="C83" s="31" t="str">
        <x:v>蓝盾安全投标</x:v>
      </x:c>
      <x:c r="D83" s="31" t="str">
        <x:v>CASE-007</x:v>
      </x:c>
      <x:c r="E83" s="31" t="str"/>
      <x:c r="F83" s="31" t="str">
        <x:v>EProcurement</x:v>
      </x:c>
      <x:c r="G83" s="31" t="str">
        <x:v>BID-007A</x:v>
      </x:c>
      <x:c r="H83" s="69" t="n">
        <x:v>46023</x:v>
      </x:c>
      <x:c r="I83" s="69"/>
      <x:c r="J83" s="31" t="str">
        <x:v>有效</x:v>
      </x:c>
      <x:c r="K83" s="31" t="str">
        <x:v>{"supplier_id":"SUP-C011","bid_amount":6750000,"submit_at":"2026-04-19 14:00:00","status":"有效"}</x:v>
      </x:c>
    </x:row>
    <x:row r="84">
      <x:c r="A84" s="31" t="str">
        <x:v>BID-008A</x:v>
      </x:c>
      <x:c r="B84" s="31" t="str">
        <x:v>PROC.Bid</x:v>
      </x:c>
      <x:c r="C84" s="31" t="str">
        <x:v>诚达服务器投标</x:v>
      </x:c>
      <x:c r="D84" s="31" t="str">
        <x:v>CASE-008</x:v>
      </x:c>
      <x:c r="E84" s="31" t="str"/>
      <x:c r="F84" s="31" t="str">
        <x:v>EProcurement</x:v>
      </x:c>
      <x:c r="G84" s="31" t="str">
        <x:v>BID-008A</x:v>
      </x:c>
      <x:c r="H84" s="69" t="n">
        <x:v>46023</x:v>
      </x:c>
      <x:c r="I84" s="69"/>
      <x:c r="J84" s="31" t="str">
        <x:v>有效</x:v>
      </x:c>
      <x:c r="K84" s="31" t="str">
        <x:v>{"supplier_id":"SUP-C012","bid_amount":9620000,"submit_at":"2026-04-23 10:00:00","status":"有效"}</x:v>
      </x:c>
    </x:row>
    <x:row r="85">
      <x:c r="A85" s="31" t="str">
        <x:v>DOC-003A</x:v>
      </x:c>
      <x:c r="B85" s="31" t="str">
        <x:v>PROC.BidDocument</x:v>
      </x:c>
      <x:c r="C85" s="31" t="str">
        <x:v>华夏数智技术投标文件</x:v>
      </x:c>
      <x:c r="D85" s="31" t="str">
        <x:v>CASE-003</x:v>
      </x:c>
      <x:c r="E85" s="31" t="str"/>
      <x:c r="F85" s="31" t="str">
        <x:v>EProcurement</x:v>
      </x:c>
      <x:c r="G85" s="31" t="str">
        <x:v>DOC-003A</x:v>
      </x:c>
      <x:c r="H85" s="69" t="n">
        <x:v>46023</x:v>
      </x:c>
      <x:c r="I85" s="69"/>
      <x:c r="J85" s="31" t="str">
        <x:v>有效</x:v>
      </x:c>
      <x:c r="K85" s="31" t="str">
        <x:v>{"file_hash":"sha256:91af...003a","document_author":"Admin","template_fingerprint":"TPL-7F21","similarity_score":0.96}</x:v>
      </x:c>
    </x:row>
    <x:row r="86">
      <x:c r="A86" s="31" t="str">
        <x:v>DOC-003B</x:v>
      </x:c>
      <x:c r="B86" s="31" t="str">
        <x:v>PROC.BidDocument</x:v>
      </x:c>
      <x:c r="C86" s="31" t="str">
        <x:v>中科云联技术投标文件</x:v>
      </x:c>
      <x:c r="D86" s="31" t="str">
        <x:v>CASE-003</x:v>
      </x:c>
      <x:c r="E86" s="31" t="str"/>
      <x:c r="F86" s="31" t="str">
        <x:v>EProcurement</x:v>
      </x:c>
      <x:c r="G86" s="31" t="str">
        <x:v>DOC-003B</x:v>
      </x:c>
      <x:c r="H86" s="69" t="n">
        <x:v>46023</x:v>
      </x:c>
      <x:c r="I86" s="69"/>
      <x:c r="J86" s="31" t="str">
        <x:v>有效</x:v>
      </x:c>
      <x:c r="K86" s="31" t="str">
        <x:v>{"file_hash":"sha256:91af...003b","document_author":"Admin","template_fingerprint":"TPL-7F21","similarity_score":0.96}</x:v>
      </x:c>
    </x:row>
    <x:row r="87">
      <x:c r="A87" s="31" t="str">
        <x:v>DOC-003C</x:v>
      </x:c>
      <x:c r="B87" s="31" t="str">
        <x:v>PROC.BidDocument</x:v>
      </x:c>
      <x:c r="C87" s="31" t="str">
        <x:v>国信软件技术投标文件</x:v>
      </x:c>
      <x:c r="D87" s="31" t="str">
        <x:v>CASE-003</x:v>
      </x:c>
      <x:c r="E87" s="31" t="str"/>
      <x:c r="F87" s="31" t="str">
        <x:v>EProcurement</x:v>
      </x:c>
      <x:c r="G87" s="31" t="str">
        <x:v>DOC-003C</x:v>
      </x:c>
      <x:c r="H87" s="69" t="n">
        <x:v>46023</x:v>
      </x:c>
      <x:c r="I87" s="69"/>
      <x:c r="J87" s="31" t="str">
        <x:v>有效</x:v>
      </x:c>
      <x:c r="K87" s="31" t="str">
        <x:v>{"file_hash":"sha256:91af...003c","document_author":"Admin","template_fingerprint":"TPL-7F21","similarity_score":0.94}</x:v>
      </x:c>
    </x:row>
    <x:row r="88">
      <x:c r="A88" s="31" t="str">
        <x:v>DOC-004A</x:v>
      </x:c>
      <x:c r="B88" s="31" t="str">
        <x:v>PROC.BidDocument</x:v>
      </x:c>
      <x:c r="C88" s="31" t="str">
        <x:v>安信网络报价文件</x:v>
      </x:c>
      <x:c r="D88" s="31" t="str">
        <x:v>CASE-004</x:v>
      </x:c>
      <x:c r="E88" s="31" t="str"/>
      <x:c r="F88" s="31" t="str">
        <x:v>EProcurement</x:v>
      </x:c>
      <x:c r="G88" s="31" t="str">
        <x:v>DOC-004A</x:v>
      </x:c>
      <x:c r="H88" s="69" t="n">
        <x:v>46023</x:v>
      </x:c>
      <x:c r="I88" s="69"/>
      <x:c r="J88" s="31" t="str">
        <x:v>有效</x:v>
      </x:c>
      <x:c r="K88" s="31" t="str">
        <x:v>{"file_hash":"sha256:44bc...004a","document_author":"李强","template_fingerprint":"TPL-9C08","similarity_score":0.82}</x:v>
      </x:c>
    </x:row>
    <x:row r="89">
      <x:c r="A89" s="31" t="str">
        <x:v>DOC-004B</x:v>
      </x:c>
      <x:c r="B89" s="31" t="str">
        <x:v>PROC.BidDocument</x:v>
      </x:c>
      <x:c r="C89" s="31" t="str">
        <x:v>博远信息报价文件</x:v>
      </x:c>
      <x:c r="D89" s="31" t="str">
        <x:v>CASE-004</x:v>
      </x:c>
      <x:c r="E89" s="31" t="str"/>
      <x:c r="F89" s="31" t="str">
        <x:v>EProcurement</x:v>
      </x:c>
      <x:c r="G89" s="31" t="str">
        <x:v>DOC-004B</x:v>
      </x:c>
      <x:c r="H89" s="69" t="n">
        <x:v>46023</x:v>
      </x:c>
      <x:c r="I89" s="69"/>
      <x:c r="J89" s="31" t="str">
        <x:v>有效</x:v>
      </x:c>
      <x:c r="K89" s="31" t="str">
        <x:v>{"file_hash":"sha256:44bc...004b","document_author":"李强","template_fingerprint":"TPL-9C08","similarity_score":0.84}</x:v>
      </x:c>
    </x:row>
    <x:row r="90">
      <x:c r="A90" s="31" t="str">
        <x:v>DOC-004C</x:v>
      </x:c>
      <x:c r="B90" s="31" t="str">
        <x:v>PROC.BidDocument</x:v>
      </x:c>
      <x:c r="C90" s="31" t="str">
        <x:v>同创科技报价文件</x:v>
      </x:c>
      <x:c r="D90" s="31" t="str">
        <x:v>CASE-004</x:v>
      </x:c>
      <x:c r="E90" s="31" t="str"/>
      <x:c r="F90" s="31" t="str">
        <x:v>EProcurement</x:v>
      </x:c>
      <x:c r="G90" s="31" t="str">
        <x:v>DOC-004C</x:v>
      </x:c>
      <x:c r="H90" s="69" t="n">
        <x:v>46023</x:v>
      </x:c>
      <x:c r="I90" s="69"/>
      <x:c r="J90" s="31" t="str">
        <x:v>有效</x:v>
      </x:c>
      <x:c r="K90" s="31" t="str">
        <x:v>{"file_hash":"sha256:44bc...004c","document_author":"李强","template_fingerprint":"TPL-9C08","similarity_score":0.83}</x:v>
      </x:c>
    </x:row>
    <x:row r="91">
      <x:c r="A91" s="31" t="str">
        <x:v>IP-003-SHARED</x:v>
      </x:c>
      <x:c r="B91" s="31" t="str">
        <x:v>PROC.IPAddress</x:v>
      </x:c>
      <x:c r="C91" s="31" t="str">
        <x:v>投标上传IP 10.24.*.18</x:v>
      </x:c>
      <x:c r="D91" s="31" t="str">
        <x:v>CASE-003</x:v>
      </x:c>
      <x:c r="E91" s="31" t="str"/>
      <x:c r="F91" s="31" t="str">
        <x:v>LogAudit</x:v>
      </x:c>
      <x:c r="G91" s="31" t="str">
        <x:v>IP-003-SHARED</x:v>
      </x:c>
      <x:c r="H91" s="69" t="n">
        <x:v>46023</x:v>
      </x:c>
      <x:c r="I91" s="69"/>
      <x:c r="J91" s="31" t="str">
        <x:v>有效</x:v>
      </x:c>
      <x:c r="K91" s="31" t="str">
        <x:v>{"ip_masked":"10.24.*.18","geo":"北京市海淀区"}</x:v>
      </x:c>
    </x:row>
    <x:row r="92">
      <x:c r="A92" s="31" t="str">
        <x:v>DEV-003-SHARED</x:v>
      </x:c>
      <x:c r="B92" s="31" t="str">
        <x:v>PROC.Device</x:v>
      </x:c>
      <x:c r="C92" s="31" t="str">
        <x:v>投标制作设备 DEV-7F21</x:v>
      </x:c>
      <x:c r="D92" s="31" t="str">
        <x:v>CASE-003</x:v>
      </x:c>
      <x:c r="E92" s="31" t="str"/>
      <x:c r="F92" s="31" t="str">
        <x:v>LogAudit</x:v>
      </x:c>
      <x:c r="G92" s="31" t="str">
        <x:v>DEV-003-SHARED</x:v>
      </x:c>
      <x:c r="H92" s="69" t="n">
        <x:v>46023</x:v>
      </x:c>
      <x:c r="I92" s="69"/>
      <x:c r="J92" s="31" t="str">
        <x:v>有效</x:v>
      </x:c>
      <x:c r="K92" s="31" t="str">
        <x:v>{"device_fingerprint":"DEV-7F21-****"}</x:v>
      </x:c>
    </x:row>
    <x:row r="93">
      <x:c r="A93" s="31" t="str">
        <x:v>IP-004-SHARED</x:v>
      </x:c>
      <x:c r="B93" s="31" t="str">
        <x:v>PROC.IPAddress</x:v>
      </x:c>
      <x:c r="C93" s="31" t="str">
        <x:v>投标上传IP 172.18.*.66</x:v>
      </x:c>
      <x:c r="D93" s="31" t="str">
        <x:v>CASE-004</x:v>
      </x:c>
      <x:c r="E93" s="31" t="str"/>
      <x:c r="F93" s="31" t="str">
        <x:v>LogAudit</x:v>
      </x:c>
      <x:c r="G93" s="31" t="str">
        <x:v>IP-004-SHARED</x:v>
      </x:c>
      <x:c r="H93" s="69" t="n">
        <x:v>46023</x:v>
      </x:c>
      <x:c r="I93" s="69"/>
      <x:c r="J93" s="31" t="str">
        <x:v>有效</x:v>
      </x:c>
      <x:c r="K93" s="31" t="str">
        <x:v>{"ip_masked":"172.18.*.66","geo":"北京市朝阳区"}</x:v>
      </x:c>
    </x:row>
    <x:row r="94">
      <x:c r="A94" s="31" t="str">
        <x:v>DEV-004-SHARED</x:v>
      </x:c>
      <x:c r="B94" s="31" t="str">
        <x:v>PROC.Device</x:v>
      </x:c>
      <x:c r="C94" s="31" t="str">
        <x:v>投标制作设备 DEV-9C08</x:v>
      </x:c>
      <x:c r="D94" s="31" t="str">
        <x:v>CASE-004</x:v>
      </x:c>
      <x:c r="E94" s="31" t="str"/>
      <x:c r="F94" s="31" t="str">
        <x:v>LogAudit</x:v>
      </x:c>
      <x:c r="G94" s="31" t="str">
        <x:v>DEV-004-SHARED</x:v>
      </x:c>
      <x:c r="H94" s="69" t="n">
        <x:v>46023</x:v>
      </x:c>
      <x:c r="I94" s="69"/>
      <x:c r="J94" s="31" t="str">
        <x:v>有效</x:v>
      </x:c>
      <x:c r="K94" s="31" t="str">
        <x:v>{"device_fingerprint":"DEV-9C08-****"}</x:v>
      </x:c>
    </x:row>
    <x:row r="95">
      <x:c r="A95" s="31" t="str">
        <x:v>IP-006-SUPPLIER</x:v>
      </x:c>
      <x:c r="B95" s="31" t="str">
        <x:v>PROC.IPAddress</x:v>
      </x:c>
      <x:c r="C95" s="31" t="str">
        <x:v>供应商外网IP 221.12.*.90</x:v>
      </x:c>
      <x:c r="D95" s="31" t="str">
        <x:v>CASE-006</x:v>
      </x:c>
      <x:c r="E95" s="31" t="str"/>
      <x:c r="F95" s="31" t="str">
        <x:v>LogAudit</x:v>
      </x:c>
      <x:c r="G95" s="31" t="str">
        <x:v>IP-006-SUPPLIER</x:v>
      </x:c>
      <x:c r="H95" s="69" t="n">
        <x:v>46023</x:v>
      </x:c>
      <x:c r="I95" s="69"/>
      <x:c r="J95" s="31" t="str">
        <x:v>有效</x:v>
      </x:c>
      <x:c r="K95" s="31" t="str">
        <x:v>{"ip_masked":"221.12.*.90","geo":"江苏省南京市"}</x:v>
      </x:c>
    </x:row>
    <x:row r="96">
      <x:c r="A96" s="31" t="str">
        <x:v>CONTACT-004-SHARED</x:v>
      </x:c>
      <x:c r="B96" s="31" t="str">
        <x:v>PROC.Contact</x:v>
      </x:c>
      <x:c r="C96" s="31" t="str">
        <x:v>共同联系电话 138****8201</x:v>
      </x:c>
      <x:c r="D96" s="31" t="str">
        <x:v>CASE-004</x:v>
      </x:c>
      <x:c r="E96" s="31" t="str"/>
      <x:c r="F96" s="31" t="str">
        <x:v>ExternalCorp</x:v>
      </x:c>
      <x:c r="G96" s="31" t="str">
        <x:v>CONTACT-004-SHARED</x:v>
      </x:c>
      <x:c r="H96" s="69" t="n">
        <x:v>46023</x:v>
      </x:c>
      <x:c r="I96" s="69"/>
      <x:c r="J96" s="31" t="str">
        <x:v>有效</x:v>
      </x:c>
      <x:c r="K96" s="31" t="str">
        <x:v>{"phone_masked":"138****8201"}</x:v>
      </x:c>
    </x:row>
    <x:row r="97">
      <x:c r="A97" s="31" t="str">
        <x:v>ADDR-004-SHARED</x:v>
      </x:c>
      <x:c r="B97" s="31" t="str">
        <x:v>PROC.Address</x:v>
      </x:c>
      <x:c r="C97" s="31" t="str">
        <x:v>共同办公地址 北京市海淀区中关村大街**号</x:v>
      </x:c>
      <x:c r="D97" s="31" t="str">
        <x:v>CASE-004</x:v>
      </x:c>
      <x:c r="E97" s="31" t="str"/>
      <x:c r="F97" s="31" t="str">
        <x:v>ExternalCorp</x:v>
      </x:c>
      <x:c r="G97" s="31" t="str">
        <x:v>ADDR-004-SHARED</x:v>
      </x:c>
      <x:c r="H97" s="69" t="n">
        <x:v>46023</x:v>
      </x:c>
      <x:c r="I97" s="69"/>
      <x:c r="J97" s="31" t="str">
        <x:v>有效</x:v>
      </x:c>
      <x:c r="K97" s="31" t="str">
        <x:v>{"address_text":"北京市海淀区中关村大街**号"}</x:v>
      </x:c>
    </x:row>
    <x:row r="98">
      <x:c r="A98" s="31" t="str">
        <x:v>PANEL-003</x:v>
      </x:c>
      <x:c r="B98" s="31" t="str">
        <x:v>PROC.ReviewPanel</x:v>
      </x:c>
      <x:c r="C98" s="31" t="str">
        <x:v>数据中台项目评审委员会</x:v>
      </x:c>
      <x:c r="D98" s="31" t="str">
        <x:v>CASE-003</x:v>
      </x:c>
      <x:c r="E98" s="31" t="str">
        <x:v>ORG-DATA</x:v>
      </x:c>
      <x:c r="F98" s="31" t="str">
        <x:v>EProcurement</x:v>
      </x:c>
      <x:c r="G98" s="31" t="str">
        <x:v>PANEL-003</x:v>
      </x:c>
      <x:c r="H98" s="69" t="n">
        <x:v>46023</x:v>
      </x:c>
      <x:c r="I98" s="69"/>
      <x:c r="J98" s="31" t="str">
        <x:v>有效</x:v>
      </x:c>
      <x:c r="K98" s="31" t="str">
        <x:v>{"selection_method":"随机抽取","draw_record_no":"DRAW-20260622-003"}</x:v>
      </x:c>
    </x:row>
    <x:row r="99">
      <x:c r="A99" s="31" t="str">
        <x:v>PANEL-004</x:v>
      </x:c>
      <x:c r="B99" s="31" t="str">
        <x:v>PROC.ReviewPanel</x:v>
      </x:c>
      <x:c r="C99" s="31" t="str">
        <x:v>网络安全设备评审委员会</x:v>
      </x:c>
      <x:c r="D99" s="31" t="str">
        <x:v>CASE-004</x:v>
      </x:c>
      <x:c r="E99" s="31" t="str">
        <x:v>ORG-SEC</x:v>
      </x:c>
      <x:c r="F99" s="31" t="str">
        <x:v>EProcurement</x:v>
      </x:c>
      <x:c r="G99" s="31" t="str">
        <x:v>PANEL-004</x:v>
      </x:c>
      <x:c r="H99" s="69" t="n">
        <x:v>46023</x:v>
      </x:c>
      <x:c r="I99" s="69"/>
      <x:c r="J99" s="31" t="str">
        <x:v>有效</x:v>
      </x:c>
      <x:c r="K99" s="31" t="str">
        <x:v>{"selection_method":"随机抽取","draw_record_no":"DRAW-20260529-004"}</x:v>
      </x:c>
    </x:row>
    <x:row r="100">
      <x:c r="A100" s="31" t="str">
        <x:v>PANEL-005</x:v>
      </x:c>
      <x:c r="B100" s="31" t="str">
        <x:v>PROC.ReviewPanel</x:v>
      </x:c>
      <x:c r="C100" s="31" t="str">
        <x:v>云资源运维评审委员会</x:v>
      </x:c>
      <x:c r="D100" s="31" t="str">
        <x:v>CASE-005</x:v>
      </x:c>
      <x:c r="E100" s="31" t="str">
        <x:v>ORG-OPS</x:v>
      </x:c>
      <x:c r="F100" s="31" t="str">
        <x:v>EProcurement</x:v>
      </x:c>
      <x:c r="G100" s="31" t="str">
        <x:v>PANEL-005</x:v>
      </x:c>
      <x:c r="H100" s="69" t="n">
        <x:v>46023</x:v>
      </x:c>
      <x:c r="I100" s="69"/>
      <x:c r="J100" s="31" t="str">
        <x:v>有效</x:v>
      </x:c>
      <x:c r="K100" s="31" t="str">
        <x:v>{"selection_method":"指定","draw_record_no":""}</x:v>
      </x:c>
    </x:row>
    <x:row r="101">
      <x:c r="A101" s="31" t="str">
        <x:v>PANEL-008</x:v>
      </x:c>
      <x:c r="B101" s="31" t="str">
        <x:v>PROC.ReviewPanel</x:v>
      </x:c>
      <x:c r="C101" s="31" t="str">
        <x:v>服务器框架评审委员会</x:v>
      </x:c>
      <x:c r="D101" s="31" t="str">
        <x:v>CASE-008</x:v>
      </x:c>
      <x:c r="E101" s="31" t="str">
        <x:v>ORG-INFRA</x:v>
      </x:c>
      <x:c r="F101" s="31" t="str">
        <x:v>EProcurement</x:v>
      </x:c>
      <x:c r="G101" s="31" t="str">
        <x:v>PANEL-008</x:v>
      </x:c>
      <x:c r="H101" s="69" t="n">
        <x:v>46023</x:v>
      </x:c>
      <x:c r="I101" s="69"/>
      <x:c r="J101" s="31" t="str">
        <x:v>有效</x:v>
      </x:c>
      <x:c r="K101" s="31" t="str">
        <x:v>{"selection_method":"随机抽取","draw_record_no":"DRAW-20260422-008"}</x:v>
      </x:c>
    </x:row>
    <x:row r="102">
      <x:c r="A102" s="31" t="str">
        <x:v>AWD-003</x:v>
      </x:c>
      <x:c r="B102" s="31" t="str">
        <x:v>PROC.Award</x:v>
      </x:c>
      <x:c r="C102" s="31" t="str">
        <x:v>数据中台二期中标结果</x:v>
      </x:c>
      <x:c r="D102" s="31" t="str">
        <x:v>CASE-003</x:v>
      </x:c>
      <x:c r="E102" s="31" t="str">
        <x:v>ORG-DATA</x:v>
      </x:c>
      <x:c r="F102" s="31" t="str">
        <x:v>EProcurement</x:v>
      </x:c>
      <x:c r="G102" s="31" t="str">
        <x:v>AWD-003</x:v>
      </x:c>
      <x:c r="H102" s="69" t="n">
        <x:v>46023</x:v>
      </x:c>
      <x:c r="I102" s="69"/>
      <x:c r="J102" s="31" t="str">
        <x:v>有效</x:v>
      </x:c>
      <x:c r="K102" s="31" t="str">
        <x:v>{"supplier_id":"SUP-C003","award_amount":8420000}</x:v>
      </x:c>
    </x:row>
    <x:row r="103">
      <x:c r="A103" s="31" t="str">
        <x:v>AWD-004</x:v>
      </x:c>
      <x:c r="B103" s="31" t="str">
        <x:v>PROC.Award</x:v>
      </x:c>
      <x:c r="C103" s="31" t="str">
        <x:v>网络安全设备中标结果</x:v>
      </x:c>
      <x:c r="D103" s="31" t="str">
        <x:v>CASE-004</x:v>
      </x:c>
      <x:c r="E103" s="31" t="str">
        <x:v>ORG-SEC</x:v>
      </x:c>
      <x:c r="F103" s="31" t="str">
        <x:v>EProcurement</x:v>
      </x:c>
      <x:c r="G103" s="31" t="str">
        <x:v>AWD-004</x:v>
      </x:c>
      <x:c r="H103" s="69" t="n">
        <x:v>46023</x:v>
      </x:c>
      <x:c r="I103" s="69"/>
      <x:c r="J103" s="31" t="str">
        <x:v>有效</x:v>
      </x:c>
      <x:c r="K103" s="31" t="str">
        <x:v>{"supplier_id":"SUP-C006","award_amount":12180000}</x:v>
      </x:c>
    </x:row>
    <x:row r="104">
      <x:c r="A104" s="31" t="str">
        <x:v>AWD-005</x:v>
      </x:c>
      <x:c r="B104" s="31" t="str">
        <x:v>PROC.Award</x:v>
      </x:c>
      <x:c r="C104" s="31" t="str">
        <x:v>云资源运维中标结果</x:v>
      </x:c>
      <x:c r="D104" s="31" t="str">
        <x:v>CASE-005</x:v>
      </x:c>
      <x:c r="E104" s="31" t="str">
        <x:v>ORG-OPS</x:v>
      </x:c>
      <x:c r="F104" s="31" t="str">
        <x:v>EProcurement</x:v>
      </x:c>
      <x:c r="G104" s="31" t="str">
        <x:v>AWD-005</x:v>
      </x:c>
      <x:c r="H104" s="69" t="n">
        <x:v>46023</x:v>
      </x:c>
      <x:c r="I104" s="69"/>
      <x:c r="J104" s="31" t="str">
        <x:v>有效</x:v>
      </x:c>
      <x:c r="K104" s="31" t="str">
        <x:v>{"supplier_id":"SUP-C009","award_amount":3150000}</x:v>
      </x:c>
    </x:row>
    <x:row r="105">
      <x:c r="A105" s="31" t="str">
        <x:v>AWD-007</x:v>
      </x:c>
      <x:c r="B105" s="31" t="str">
        <x:v>PROC.Award</x:v>
      </x:c>
      <x:c r="C105" s="31" t="str">
        <x:v>安全运营服务中标结果</x:v>
      </x:c>
      <x:c r="D105" s="31" t="str">
        <x:v>CASE-007</x:v>
      </x:c>
      <x:c r="E105" s="31" t="str">
        <x:v>ORG-SEC</x:v>
      </x:c>
      <x:c r="F105" s="31" t="str">
        <x:v>EProcurement</x:v>
      </x:c>
      <x:c r="G105" s="31" t="str">
        <x:v>AWD-007</x:v>
      </x:c>
      <x:c r="H105" s="69" t="n">
        <x:v>46023</x:v>
      </x:c>
      <x:c r="I105" s="69"/>
      <x:c r="J105" s="31" t="str">
        <x:v>有效</x:v>
      </x:c>
      <x:c r="K105" s="31" t="str">
        <x:v>{"supplier_id":"SUP-C011","award_amount":6750000}</x:v>
      </x:c>
    </x:row>
    <x:row r="106">
      <x:c r="A106" s="31" t="str">
        <x:v>AWD-008</x:v>
      </x:c>
      <x:c r="B106" s="31" t="str">
        <x:v>PROC.Award</x:v>
      </x:c>
      <x:c r="C106" s="31" t="str">
        <x:v>服务器框架中标结果</x:v>
      </x:c>
      <x:c r="D106" s="31" t="str">
        <x:v>CASE-008</x:v>
      </x:c>
      <x:c r="E106" s="31" t="str">
        <x:v>ORG-INFRA</x:v>
      </x:c>
      <x:c r="F106" s="31" t="str">
        <x:v>EProcurement</x:v>
      </x:c>
      <x:c r="G106" s="31" t="str">
        <x:v>AWD-008</x:v>
      </x:c>
      <x:c r="H106" s="69" t="n">
        <x:v>46023</x:v>
      </x:c>
      <x:c r="I106" s="69"/>
      <x:c r="J106" s="31" t="str">
        <x:v>有效</x:v>
      </x:c>
      <x:c r="K106" s="31" t="str">
        <x:v>{"supplier_id":"SUP-C012","award_amount":9620000}</x:v>
      </x:c>
    </x:row>
    <x:row r="107">
      <x:c r="A107" s="31" t="str">
        <x:v>CON-003</x:v>
      </x:c>
      <x:c r="B107" s="31" t="str">
        <x:v>PROC.Contract</x:v>
      </x:c>
      <x:c r="C107" s="31" t="str">
        <x:v>数据中台二期建设合同</x:v>
      </x:c>
      <x:c r="D107" s="31" t="str">
        <x:v>CASE-003</x:v>
      </x:c>
      <x:c r="E107" s="31" t="str">
        <x:v>ORG-DATA</x:v>
      </x:c>
      <x:c r="F107" s="31" t="str">
        <x:v>ContractSystem</x:v>
      </x:c>
      <x:c r="G107" s="31" t="str">
        <x:v>CON-003</x:v>
      </x:c>
      <x:c r="H107" s="69" t="n">
        <x:v>46023</x:v>
      </x:c>
      <x:c r="I107" s="69"/>
      <x:c r="J107" s="31" t="str">
        <x:v>有效</x:v>
      </x:c>
      <x:c r="K107" s="31" t="str">
        <x:v>{"supplier_id":"SUP-C003","contract_amount":8420000,"signed_at":"2026-07-02 10:00:00"}</x:v>
      </x:c>
    </x:row>
    <x:row r="108">
      <x:c r="A108" s="31" t="str">
        <x:v>CON-004</x:v>
      </x:c>
      <x:c r="B108" s="31" t="str">
        <x:v>PROC.Contract</x:v>
      </x:c>
      <x:c r="C108" s="31" t="str">
        <x:v>核心网络安全设备采购合同</x:v>
      </x:c>
      <x:c r="D108" s="31" t="str">
        <x:v>CASE-004</x:v>
      </x:c>
      <x:c r="E108" s="31" t="str">
        <x:v>ORG-SEC</x:v>
      </x:c>
      <x:c r="F108" s="31" t="str">
        <x:v>ContractSystem</x:v>
      </x:c>
      <x:c r="G108" s="31" t="str">
        <x:v>CON-004</x:v>
      </x:c>
      <x:c r="H108" s="69" t="n">
        <x:v>46023</x:v>
      </x:c>
      <x:c r="I108" s="69"/>
      <x:c r="J108" s="31" t="str">
        <x:v>有效</x:v>
      </x:c>
      <x:c r="K108" s="31" t="str">
        <x:v>{"supplier_id":"SUP-C006","contract_amount":12180000,"signed_at":"2026-06-10 10:00:00"}</x:v>
      </x:c>
    </x:row>
    <x:row r="109">
      <x:c r="A109" s="31" t="str">
        <x:v>CON-005</x:v>
      </x:c>
      <x:c r="B109" s="31" t="str">
        <x:v>PROC.Contract</x:v>
      </x:c>
      <x:c r="C109" s="31" t="str">
        <x:v>云资源运维服务合同</x:v>
      </x:c>
      <x:c r="D109" s="31" t="str">
        <x:v>CASE-005</x:v>
      </x:c>
      <x:c r="E109" s="31" t="str">
        <x:v>ORG-OPS</x:v>
      </x:c>
      <x:c r="F109" s="31" t="str">
        <x:v>ContractSystem</x:v>
      </x:c>
      <x:c r="G109" s="31" t="str">
        <x:v>CON-005</x:v>
      </x:c>
      <x:c r="H109" s="69" t="n">
        <x:v>46023</x:v>
      </x:c>
      <x:c r="I109" s="69"/>
      <x:c r="J109" s="31" t="str">
        <x:v>有效</x:v>
      </x:c>
      <x:c r="K109" s="31" t="str">
        <x:v>{"supplier_id":"SUP-C009","contract_amount":3150000,"signed_at":"2026-06-14 10:00:00"}</x:v>
      </x:c>
    </x:row>
    <x:row r="110">
      <x:c r="A110" s="31" t="str">
        <x:v>CON-006</x:v>
      </x:c>
      <x:c r="B110" s="31" t="str">
        <x:v>PROC.Contract</x:v>
      </x:c>
      <x:c r="C110" s="31" t="str">
        <x:v>存储设备扩容采购合同</x:v>
      </x:c>
      <x:c r="D110" s="31" t="str">
        <x:v>CASE-006</x:v>
      </x:c>
      <x:c r="E110" s="31" t="str">
        <x:v>ORG-INFRA</x:v>
      </x:c>
      <x:c r="F110" s="31" t="str">
        <x:v>ContractSystem</x:v>
      </x:c>
      <x:c r="G110" s="31" t="str">
        <x:v>CON-006</x:v>
      </x:c>
      <x:c r="H110" s="69" t="n">
        <x:v>46023</x:v>
      </x:c>
      <x:c r="I110" s="69"/>
      <x:c r="J110" s="31" t="str">
        <x:v>有效</x:v>
      </x:c>
      <x:c r="K110" s="31" t="str">
        <x:v>{"supplier_id":"SUP-C010","contract_amount":4860000,"signed_at":"2026-05-10 10:00:00","business_direction":"采购","subject_name":"企业级存储阵列X900","specification":"X900/16TB/双控","quantity":60,"unit_price":81000,"payment_terms_days":0}</x:v>
      </x:c>
    </x:row>
    <x:row r="111">
      <x:c r="A111" s="31" t="str">
        <x:v>CON-007</x:v>
      </x:c>
      <x:c r="B111" s="31" t="str">
        <x:v>PROC.Contract</x:v>
      </x:c>
      <x:c r="C111" s="31" t="str">
        <x:v>安全运营服务采购合同</x:v>
      </x:c>
      <x:c r="D111" s="31" t="str">
        <x:v>CASE-007</x:v>
      </x:c>
      <x:c r="E111" s="31" t="str">
        <x:v>ORG-SEC</x:v>
      </x:c>
      <x:c r="F111" s="31" t="str">
        <x:v>ContractSystem</x:v>
      </x:c>
      <x:c r="G111" s="31" t="str">
        <x:v>CON-007</x:v>
      </x:c>
      <x:c r="H111" s="69" t="n">
        <x:v>46023</x:v>
      </x:c>
      <x:c r="I111" s="69"/>
      <x:c r="J111" s="31" t="str">
        <x:v>有效</x:v>
      </x:c>
      <x:c r="K111" s="31" t="str">
        <x:v>{"supplier_id":"SUP-C011","contract_amount":6750000,"signed_at":"2026-04-25 10:00:00"}</x:v>
      </x:c>
    </x:row>
    <x:row r="112">
      <x:c r="A112" s="31" t="str">
        <x:v>CON-008</x:v>
      </x:c>
      <x:c r="B112" s="31" t="str">
        <x:v>PROC.Contract</x:v>
      </x:c>
      <x:c r="C112" s="31" t="str">
        <x:v>通用服务器框架采购合同</x:v>
      </x:c>
      <x:c r="D112" s="31" t="str">
        <x:v>CASE-008</x:v>
      </x:c>
      <x:c r="E112" s="31" t="str">
        <x:v>ORG-INFRA</x:v>
      </x:c>
      <x:c r="F112" s="31" t="str">
        <x:v>ContractSystem</x:v>
      </x:c>
      <x:c r="G112" s="31" t="str">
        <x:v>CON-008</x:v>
      </x:c>
      <x:c r="H112" s="69" t="n">
        <x:v>46023</x:v>
      </x:c>
      <x:c r="I112" s="69"/>
      <x:c r="J112" s="31" t="str">
        <x:v>有效</x:v>
      </x:c>
      <x:c r="K112" s="31" t="str">
        <x:v>{"supplier_id":"SUP-C012","contract_amount":9620000,"signed_at":"2026-05-05 10:00:00"}</x:v>
      </x:c>
    </x:row>
    <x:row r="113">
      <x:c r="A113" s="31" t="str">
        <x:v>CHG-007</x:v>
      </x:c>
      <x:c r="B113" s="31" t="str">
        <x:v>PROC.ContractChange</x:v>
      </x:c>
      <x:c r="C113" s="31" t="str">
        <x:v>安全运营服务合同第一次变更</x:v>
      </x:c>
      <x:c r="D113" s="31" t="str">
        <x:v>CASE-007</x:v>
      </x:c>
      <x:c r="E113" s="31" t="str">
        <x:v>ORG-SEC</x:v>
      </x:c>
      <x:c r="F113" s="31" t="str">
        <x:v>ContractSystem</x:v>
      </x:c>
      <x:c r="G113" s="31" t="str">
        <x:v>CHG-007</x:v>
      </x:c>
      <x:c r="H113" s="69" t="n">
        <x:v>46023</x:v>
      </x:c>
      <x:c r="I113" s="69"/>
      <x:c r="J113" s="31" t="str">
        <x:v>有效</x:v>
      </x:c>
      <x:c r="K113" s="31" t="str">
        <x:v>{"change_amount":2550000,"change_rate":0.3778,"changed_at":"2026-05-13 10:00:00","scope_change":"新增两地驻场与未招标设备维保"}</x:v>
      </x:c>
    </x:row>
    <x:row r="114">
      <x:c r="A114" s="31" t="str">
        <x:v>PO-002A</x:v>
      </x:c>
      <x:c r="B114" s="31" t="str">
        <x:v>PROC.PurchaseOrder</x:v>
      </x:c>
      <x:c r="C114" s="31" t="str">
        <x:v>办公终端第一批订单</x:v>
      </x:c>
      <x:c r="D114" s="31" t="str">
        <x:v>CASE-002</x:v>
      </x:c>
      <x:c r="E114" s="31" t="str">
        <x:v>ORG-PROC</x:v>
      </x:c>
      <x:c r="F114" s="31" t="str">
        <x:v>ERP</x:v>
      </x:c>
      <x:c r="G114" s="31" t="str">
        <x:v>PO-002A</x:v>
      </x:c>
      <x:c r="H114" s="69" t="n">
        <x:v>46023</x:v>
      </x:c>
      <x:c r="I114" s="69"/>
      <x:c r="J114" s="31" t="str">
        <x:v>有效</x:v>
      </x:c>
      <x:c r="K114" s="31" t="str">
        <x:v>{"order_amount":720000,"ordered_at":"2026-06-11 10:00:00"}</x:v>
      </x:c>
    </x:row>
    <x:row r="115">
      <x:c r="A115" s="31" t="str">
        <x:v>PO-002B</x:v>
      </x:c>
      <x:c r="B115" s="31" t="str">
        <x:v>PROC.PurchaseOrder</x:v>
      </x:c>
      <x:c r="C115" s="31" t="str">
        <x:v>办公终端第二批订单</x:v>
      </x:c>
      <x:c r="D115" s="31" t="str">
        <x:v>CASE-002</x:v>
      </x:c>
      <x:c r="E115" s="31" t="str">
        <x:v>ORG-PROC</x:v>
      </x:c>
      <x:c r="F115" s="31" t="str">
        <x:v>ERP</x:v>
      </x:c>
      <x:c r="G115" s="31" t="str">
        <x:v>PO-002B</x:v>
      </x:c>
      <x:c r="H115" s="69" t="n">
        <x:v>46023</x:v>
      </x:c>
      <x:c r="I115" s="69"/>
      <x:c r="J115" s="31" t="str">
        <x:v>有效</x:v>
      </x:c>
      <x:c r="K115" s="31" t="str">
        <x:v>{"order_amount":710000,"ordered_at":"2026-06-19 10:00:00"}</x:v>
      </x:c>
    </x:row>
    <x:row r="116">
      <x:c r="A116" s="31" t="str">
        <x:v>PO-002C</x:v>
      </x:c>
      <x:c r="B116" s="31" t="str">
        <x:v>PROC.PurchaseOrder</x:v>
      </x:c>
      <x:c r="C116" s="31" t="str">
        <x:v>办公终端第三批订单</x:v>
      </x:c>
      <x:c r="D116" s="31" t="str">
        <x:v>CASE-002</x:v>
      </x:c>
      <x:c r="E116" s="31" t="str">
        <x:v>ORG-PROC</x:v>
      </x:c>
      <x:c r="F116" s="31" t="str">
        <x:v>ERP</x:v>
      </x:c>
      <x:c r="G116" s="31" t="str">
        <x:v>PO-002C</x:v>
      </x:c>
      <x:c r="H116" s="69" t="n">
        <x:v>46023</x:v>
      </x:c>
      <x:c r="I116" s="69"/>
      <x:c r="J116" s="31" t="str">
        <x:v>有效</x:v>
      </x:c>
      <x:c r="K116" s="31" t="str">
        <x:v>{"order_amount":730000,"ordered_at":"2026-06-29 10:00:00"}</x:v>
      </x:c>
    </x:row>
    <x:row r="117">
      <x:c r="A117" s="31" t="str">
        <x:v>PO-006</x:v>
      </x:c>
      <x:c r="B117" s="31" t="str">
        <x:v>PROC.PurchaseOrder</x:v>
      </x:c>
      <x:c r="C117" s="31" t="str">
        <x:v>存储设备扩容订单</x:v>
      </x:c>
      <x:c r="D117" s="31" t="str">
        <x:v>CASE-006</x:v>
      </x:c>
      <x:c r="E117" s="31" t="str">
        <x:v>ORG-INFRA</x:v>
      </x:c>
      <x:c r="F117" s="31" t="str">
        <x:v>ERP</x:v>
      </x:c>
      <x:c r="G117" s="31" t="str">
        <x:v>PO-006</x:v>
      </x:c>
      <x:c r="H117" s="69" t="n">
        <x:v>46023</x:v>
      </x:c>
      <x:c r="I117" s="69"/>
      <x:c r="J117" s="31" t="str">
        <x:v>有效</x:v>
      </x:c>
      <x:c r="K117" s="31" t="str">
        <x:v>{"order_amount":4860000,"ordered_at":"2026-05-12 10:00:00"}</x:v>
      </x:c>
    </x:row>
    <x:row r="118">
      <x:c r="A118" s="31" t="str">
        <x:v>PO-007</x:v>
      </x:c>
      <x:c r="B118" s="31" t="str">
        <x:v>PROC.PurchaseOrder</x:v>
      </x:c>
      <x:c r="C118" s="31" t="str">
        <x:v>安全运营服务订单</x:v>
      </x:c>
      <x:c r="D118" s="31" t="str">
        <x:v>CASE-007</x:v>
      </x:c>
      <x:c r="E118" s="31" t="str">
        <x:v>ORG-SEC</x:v>
      </x:c>
      <x:c r="F118" s="31" t="str">
        <x:v>ERP</x:v>
      </x:c>
      <x:c r="G118" s="31" t="str">
        <x:v>PO-007</x:v>
      </x:c>
      <x:c r="H118" s="69" t="n">
        <x:v>46023</x:v>
      </x:c>
      <x:c r="I118" s="69"/>
      <x:c r="J118" s="31" t="str">
        <x:v>有效</x:v>
      </x:c>
      <x:c r="K118" s="31" t="str">
        <x:v>{"order_amount":9300000,"ordered_at":"2026-05-14 10:00:00"}</x:v>
      </x:c>
    </x:row>
    <x:row r="119">
      <x:c r="A119" s="31" t="str">
        <x:v>PO-008</x:v>
      </x:c>
      <x:c r="B119" s="31" t="str">
        <x:v>PROC.PurchaseOrder</x:v>
      </x:c>
      <x:c r="C119" s="31" t="str">
        <x:v>通用服务器框架首批订单</x:v>
      </x:c>
      <x:c r="D119" s="31" t="str">
        <x:v>CASE-008</x:v>
      </x:c>
      <x:c r="E119" s="31" t="str">
        <x:v>ORG-INFRA</x:v>
      </x:c>
      <x:c r="F119" s="31" t="str">
        <x:v>ERP</x:v>
      </x:c>
      <x:c r="G119" s="31" t="str">
        <x:v>PO-008</x:v>
      </x:c>
      <x:c r="H119" s="69" t="n">
        <x:v>46023</x:v>
      </x:c>
      <x:c r="I119" s="69"/>
      <x:c r="J119" s="31" t="str">
        <x:v>有效</x:v>
      </x:c>
      <x:c r="K119" s="31" t="str">
        <x:v>{"order_amount":9620000,"ordered_at":"2026-05-08 10:00:00"}</x:v>
      </x:c>
    </x:row>
    <x:row r="120">
      <x:c r="A120" s="31" t="str">
        <x:v>LOG-006</x:v>
      </x:c>
      <x:c r="B120" s="31" t="str">
        <x:v>PROC.LogisticsRecord</x:v>
      </x:c>
      <x:c r="C120" s="31" t="str">
        <x:v>存储设备物流记录</x:v>
      </x:c>
      <x:c r="D120" s="31" t="str">
        <x:v>CASE-006</x:v>
      </x:c>
      <x:c r="E120" s="31" t="str"/>
      <x:c r="F120" s="31" t="str">
        <x:v>LogisticsPlatform</x:v>
      </x:c>
      <x:c r="G120" s="31" t="str">
        <x:v>LOG-006</x:v>
      </x:c>
      <x:c r="H120" s="69" t="n">
        <x:v>46023</x:v>
      </x:c>
      <x:c r="I120" s="69"/>
      <x:c r="J120" s="31" t="str">
        <x:v>有效</x:v>
      </x:c>
      <x:c r="K120" s="31" t="str">
        <x:v>{"vehicle_no":"苏A****38","cargo_weight":18.6,"gps_distance":2.4,"note":"轨迹仅2.4公里，与南京至北京运输不符"}</x:v>
      </x:c>
    </x:row>
    <x:row r="121">
      <x:c r="A121" s="31" t="str">
        <x:v>LOG-007</x:v>
      </x:c>
      <x:c r="B121" s="31" t="str">
        <x:v>PROC.LogisticsRecord</x:v>
      </x:c>
      <x:c r="C121" s="31" t="str">
        <x:v>安全运营服务设备寄送记录</x:v>
      </x:c>
      <x:c r="D121" s="31" t="str">
        <x:v>CASE-007</x:v>
      </x:c>
      <x:c r="E121" s="31" t="str"/>
      <x:c r="F121" s="31" t="str">
        <x:v>LogisticsPlatform</x:v>
      </x:c>
      <x:c r="G121" s="31" t="str">
        <x:v>LOG-007</x:v>
      </x:c>
      <x:c r="H121" s="69" t="n">
        <x:v>46023</x:v>
      </x:c>
      <x:c r="I121" s="69"/>
      <x:c r="J121" s="31" t="str">
        <x:v>有效</x:v>
      </x:c>
      <x:c r="K121" s="31" t="str">
        <x:v>{"vehicle_no":"京N****61","cargo_weight":0.4,"gps_distance":42,"note":"仅寄送少量材料"}</x:v>
      </x:c>
    </x:row>
    <x:row r="122">
      <x:c r="A122" s="31" t="str">
        <x:v>LOG-008</x:v>
      </x:c>
      <x:c r="B122" s="31" t="str">
        <x:v>PROC.LogisticsRecord</x:v>
      </x:c>
      <x:c r="C122" s="31" t="str">
        <x:v>通用服务器物流记录</x:v>
      </x:c>
      <x:c r="D122" s="31" t="str">
        <x:v>CASE-008</x:v>
      </x:c>
      <x:c r="E122" s="31" t="str"/>
      <x:c r="F122" s="31" t="str">
        <x:v>LogisticsPlatform</x:v>
      </x:c>
      <x:c r="G122" s="31" t="str">
        <x:v>LOG-008</x:v>
      </x:c>
      <x:c r="H122" s="69" t="n">
        <x:v>46023</x:v>
      </x:c>
      <x:c r="I122" s="69"/>
      <x:c r="J122" s="31" t="str">
        <x:v>有效</x:v>
      </x:c>
      <x:c r="K122" s="31" t="str">
        <x:v>{"vehicle_no":"京A****26","cargo_weight":21.8,"gps_distance":1180,"note":"轨迹完整"}</x:v>
      </x:c>
    </x:row>
    <x:row r="123">
      <x:c r="A123" s="31" t="str">
        <x:v>WH-001</x:v>
      </x:c>
      <x:c r="B123" s="31" t="str">
        <x:v>PROC.Warehouse</x:v>
      </x:c>
      <x:c r="C123" s="31" t="str">
        <x:v>华北中心仓一号库</x:v>
      </x:c>
      <x:c r="D123" s="31" t="str">
        <x:v>COMMON</x:v>
      </x:c>
      <x:c r="E123" s="31" t="str">
        <x:v>ORG-WH</x:v>
      </x:c>
      <x:c r="F123" s="31" t="str">
        <x:v>WMS</x:v>
      </x:c>
      <x:c r="G123" s="31" t="str">
        <x:v>WH-001</x:v>
      </x:c>
      <x:c r="H123" s="69" t="n">
        <x:v>46023</x:v>
      </x:c>
      <x:c r="I123" s="69"/>
      <x:c r="J123" s="31" t="str">
        <x:v>有效</x:v>
      </x:c>
      <x:c r="K123" s="31" t="str">
        <x:v>{"warehouse_code":"WH-001","address":"北京市大兴区云仓路**号"}</x:v>
      </x:c>
    </x:row>
    <x:row r="124">
      <x:c r="A124" s="31" t="str">
        <x:v>GR-006</x:v>
      </x:c>
      <x:c r="B124" s="31" t="str">
        <x:v>PROC.GoodsReceipt</x:v>
      </x:c>
      <x:c r="C124" s="31" t="str">
        <x:v>存储设备收货单</x:v>
      </x:c>
      <x:c r="D124" s="31" t="str">
        <x:v>CASE-006</x:v>
      </x:c>
      <x:c r="E124" s="31" t="str">
        <x:v>ORG-WH</x:v>
      </x:c>
      <x:c r="F124" s="31" t="str">
        <x:v>WMS</x:v>
      </x:c>
      <x:c r="G124" s="31" t="str">
        <x:v>GR-006</x:v>
      </x:c>
      <x:c r="H124" s="69" t="n">
        <x:v>46023</x:v>
      </x:c>
      <x:c r="I124" s="69"/>
      <x:c r="J124" s="31" t="str">
        <x:v>有效</x:v>
      </x:c>
      <x:c r="K124" s="31" t="str">
        <x:v>{"receipt_status":"异常","received_at":"2026-05-16 09:12:00","note":"孙超账号创建，来源IP属于供应商"}</x:v>
      </x:c>
    </x:row>
    <x:row r="125">
      <x:c r="A125" s="31" t="str">
        <x:v>GR-007</x:v>
      </x:c>
      <x:c r="B125" s="31" t="str">
        <x:v>PROC.GoodsReceipt</x:v>
      </x:c>
      <x:c r="C125" s="31" t="str">
        <x:v>安全运营服务阶段交付单</x:v>
      </x:c>
      <x:c r="D125" s="31" t="str">
        <x:v>CASE-007</x:v>
      </x:c>
      <x:c r="E125" s="31" t="str">
        <x:v>ORG-WH</x:v>
      </x:c>
      <x:c r="F125" s="31" t="str">
        <x:v>WMS</x:v>
      </x:c>
      <x:c r="G125" s="31" t="str">
        <x:v>GR-007</x:v>
      </x:c>
      <x:c r="H125" s="69" t="n">
        <x:v>46023</x:v>
      </x:c>
      <x:c r="I125" s="69"/>
      <x:c r="J125" s="31" t="str">
        <x:v>有效</x:v>
      </x:c>
      <x:c r="K125" s="31" t="str">
        <x:v>{"receipt_status":"未收货","received_at":"2026-06-30 17:00:00","note":"仅有阶段报告，设备未到货"}</x:v>
      </x:c>
    </x:row>
    <x:row r="126">
      <x:c r="A126" s="31" t="str">
        <x:v>GR-008</x:v>
      </x:c>
      <x:c r="B126" s="31" t="str">
        <x:v>PROC.GoodsReceipt</x:v>
      </x:c>
      <x:c r="C126" s="31" t="str">
        <x:v>通用服务器收货单</x:v>
      </x:c>
      <x:c r="D126" s="31" t="str">
        <x:v>CASE-008</x:v>
      </x:c>
      <x:c r="E126" s="31" t="str">
        <x:v>ORG-WH</x:v>
      </x:c>
      <x:c r="F126" s="31" t="str">
        <x:v>WMS</x:v>
      </x:c>
      <x:c r="G126" s="31" t="str">
        <x:v>GR-008</x:v>
      </x:c>
      <x:c r="H126" s="69" t="n">
        <x:v>46023</x:v>
      </x:c>
      <x:c r="I126" s="69"/>
      <x:c r="J126" s="31" t="str">
        <x:v>有效</x:v>
      </x:c>
      <x:c r="K126" s="31" t="str">
        <x:v>{"receipt_status":"已收货","received_at":"2026-05-20 14:00:00","note":"WMS扫码入库，数量一致"}</x:v>
      </x:c>
    </x:row>
    <x:row r="127">
      <x:c r="A127" s="31" t="str">
        <x:v>INSP-006</x:v>
      </x:c>
      <x:c r="B127" s="31" t="str">
        <x:v>PROC.InspectionRecord</x:v>
      </x:c>
      <x:c r="C127" s="31" t="str">
        <x:v>存储设备验收记录</x:v>
      </x:c>
      <x:c r="D127" s="31" t="str">
        <x:v>CASE-006</x:v>
      </x:c>
      <x:c r="E127" s="31" t="str">
        <x:v>ORG-WH</x:v>
      </x:c>
      <x:c r="F127" s="31" t="str">
        <x:v>WMS</x:v>
      </x:c>
      <x:c r="G127" s="31" t="str">
        <x:v>INSP-006</x:v>
      </x:c>
      <x:c r="H127" s="69" t="n">
        <x:v>46023</x:v>
      </x:c>
      <x:c r="I127" s="69"/>
      <x:c r="J127" s="31" t="str">
        <x:v>有效</x:v>
      </x:c>
      <x:c r="K127" s="31" t="str">
        <x:v>{"inspection_status":"未验收","inspected_at":"","note":"无实物验收材料"}</x:v>
      </x:c>
    </x:row>
    <x:row r="128">
      <x:c r="A128" s="31" t="str">
        <x:v>INSP-007</x:v>
      </x:c>
      <x:c r="B128" s="31" t="str">
        <x:v>PROC.InspectionRecord</x:v>
      </x:c>
      <x:c r="C128" s="31" t="str">
        <x:v>安全运营服务验收记录</x:v>
      </x:c>
      <x:c r="D128" s="31" t="str">
        <x:v>CASE-007</x:v>
      </x:c>
      <x:c r="E128" s="31" t="str">
        <x:v>ORG-WH</x:v>
      </x:c>
      <x:c r="F128" s="31" t="str">
        <x:v>WMS</x:v>
      </x:c>
      <x:c r="G128" s="31" t="str">
        <x:v>INSP-007</x:v>
      </x:c>
      <x:c r="H128" s="69" t="n">
        <x:v>46023</x:v>
      </x:c>
      <x:c r="I128" s="69"/>
      <x:c r="J128" s="31" t="str">
        <x:v>有效</x:v>
      </x:c>
      <x:c r="K128" s="31" t="str">
        <x:v>{"inspection_status":"未验收","inspected_at":"","note":"付款时尚未验收"}</x:v>
      </x:c>
    </x:row>
    <x:row r="129">
      <x:c r="A129" s="31" t="str">
        <x:v>INSP-008</x:v>
      </x:c>
      <x:c r="B129" s="31" t="str">
        <x:v>PROC.InspectionRecord</x:v>
      </x:c>
      <x:c r="C129" s="31" t="str">
        <x:v>通用服务器验收记录</x:v>
      </x:c>
      <x:c r="D129" s="31" t="str">
        <x:v>CASE-008</x:v>
      </x:c>
      <x:c r="E129" s="31" t="str">
        <x:v>ORG-WH</x:v>
      </x:c>
      <x:c r="F129" s="31" t="str">
        <x:v>WMS</x:v>
      </x:c>
      <x:c r="G129" s="31" t="str">
        <x:v>INSP-008</x:v>
      </x:c>
      <x:c r="H129" s="69" t="n">
        <x:v>46023</x:v>
      </x:c>
      <x:c r="I129" s="69"/>
      <x:c r="J129" s="31" t="str">
        <x:v>有效</x:v>
      </x:c>
      <x:c r="K129" s="31" t="str">
        <x:v>{"inspection_status":"通过","inspected_at":"2026-05-28 16:00:00","note":"数量、序列号、性能测试均通过"}</x:v>
      </x:c>
    </x:row>
    <x:row r="130">
      <x:c r="A130" s="31" t="str">
        <x:v>INV-006</x:v>
      </x:c>
      <x:c r="B130" s="31" t="str">
        <x:v>PROC.Invoice</x:v>
      </x:c>
      <x:c r="C130" s="31" t="str">
        <x:v>存储设备增值税专用发票</x:v>
      </x:c>
      <x:c r="D130" s="31" t="str">
        <x:v>CASE-006</x:v>
      </x:c>
      <x:c r="E130" s="31" t="str"/>
      <x:c r="F130" s="31" t="str">
        <x:v>InvoicePlatform</x:v>
      </x:c>
      <x:c r="G130" s="31" t="str">
        <x:v>INV-006</x:v>
      </x:c>
      <x:c r="H130" s="69" t="n">
        <x:v>46023</x:v>
      </x:c>
      <x:c r="I130" s="69"/>
      <x:c r="J130" s="31" t="str">
        <x:v>有效</x:v>
      </x:c>
      <x:c r="K130" s="31" t="str">
        <x:v>{"invoice_code":"043001900DEMO006","invoice_amount":4860000,"issued_at":"2026-05-17 10:00:00","issuer_id":"SUP-C010","buyer_id":"ORG-INFRA","subject_name":"企业级存储阵列X900"}</x:v>
      </x:c>
    </x:row>
    <x:row r="131">
      <x:c r="A131" s="31" t="str">
        <x:v>INV-007</x:v>
      </x:c>
      <x:c r="B131" s="31" t="str">
        <x:v>PROC.Invoice</x:v>
      </x:c>
      <x:c r="C131" s="31" t="str">
        <x:v>安全运营服务首期发票</x:v>
      </x:c>
      <x:c r="D131" s="31" t="str">
        <x:v>CASE-007</x:v>
      </x:c>
      <x:c r="E131" s="31" t="str"/>
      <x:c r="F131" s="31" t="str">
        <x:v>InvoicePlatform</x:v>
      </x:c>
      <x:c r="G131" s="31" t="str">
        <x:v>INV-007</x:v>
      </x:c>
      <x:c r="H131" s="69" t="n">
        <x:v>46023</x:v>
      </x:c>
      <x:c r="I131" s="69"/>
      <x:c r="J131" s="31" t="str">
        <x:v>有效</x:v>
      </x:c>
      <x:c r="K131" s="31" t="str">
        <x:v>{"invoice_code":"043001900DEMO007","invoice_amount":8370000,"issued_at":"2026-05-20 10:00:00"}</x:v>
      </x:c>
    </x:row>
    <x:row r="132">
      <x:c r="A132" s="31" t="str">
        <x:v>INV-008</x:v>
      </x:c>
      <x:c r="B132" s="31" t="str">
        <x:v>PROC.Invoice</x:v>
      </x:c>
      <x:c r="C132" s="31" t="str">
        <x:v>通用服务器增值税专用发票</x:v>
      </x:c>
      <x:c r="D132" s="31" t="str">
        <x:v>CASE-008</x:v>
      </x:c>
      <x:c r="E132" s="31" t="str"/>
      <x:c r="F132" s="31" t="str">
        <x:v>InvoicePlatform</x:v>
      </x:c>
      <x:c r="G132" s="31" t="str">
        <x:v>INV-008</x:v>
      </x:c>
      <x:c r="H132" s="69" t="n">
        <x:v>46023</x:v>
      </x:c>
      <x:c r="I132" s="69"/>
      <x:c r="J132" s="31" t="str">
        <x:v>有效</x:v>
      </x:c>
      <x:c r="K132" s="31" t="str">
        <x:v>{"invoice_code":"043001900DEMO008","invoice_amount":9620000,"issued_at":"2026-05-30 10:00:00"}</x:v>
      </x:c>
    </x:row>
    <x:row r="133">
      <x:c r="A133" s="31" t="str">
        <x:v>BA-SUP10</x:v>
      </x:c>
      <x:c r="B133" s="31" t="str">
        <x:v>PROC.BankAccount</x:v>
      </x:c>
      <x:c r="C133" s="31" t="str">
        <x:v>江苏云海收款账户</x:v>
      </x:c>
      <x:c r="D133" s="31" t="str">
        <x:v>CASE-006</x:v>
      </x:c>
      <x:c r="E133" s="31" t="str"/>
      <x:c r="F133" s="31" t="str">
        <x:v>Treasury</x:v>
      </x:c>
      <x:c r="G133" s="31" t="str">
        <x:v>BA-SUP10</x:v>
      </x:c>
      <x:c r="H133" s="69" t="n">
        <x:v>46023</x:v>
      </x:c>
      <x:c r="I133" s="69"/>
      <x:c r="J133" s="31" t="str">
        <x:v>有效</x:v>
      </x:c>
      <x:c r="K133" s="31" t="str">
        <x:v>{"account_no_masked":"6222****0610","owner_name":"江苏云海存储设备有限公司","bank_name":"演示银行"}</x:v>
      </x:c>
    </x:row>
    <x:row r="134">
      <x:c r="A134" s="31" t="str">
        <x:v>BA-AFFIL</x:v>
      </x:c>
      <x:c r="B134" s="31" t="str">
        <x:v>PROC.BankAccount</x:v>
      </x:c>
      <x:c r="C134" s="31" t="str">
        <x:v>云创技术服务账户</x:v>
      </x:c>
      <x:c r="D134" s="31" t="str">
        <x:v>CASE-006</x:v>
      </x:c>
      <x:c r="E134" s="31" t="str"/>
      <x:c r="F134" s="31" t="str">
        <x:v>Treasury</x:v>
      </x:c>
      <x:c r="G134" s="31" t="str">
        <x:v>BA-AFFIL</x:v>
      </x:c>
      <x:c r="H134" s="69" t="n">
        <x:v>46023</x:v>
      </x:c>
      <x:c r="I134" s="69"/>
      <x:c r="J134" s="31" t="str">
        <x:v>有效</x:v>
      </x:c>
      <x:c r="K134" s="31" t="str">
        <x:v>{"account_no_masked":"6222****8820","owner_name":"云创技术服务有限公司","bank_name":"演示银行"}</x:v>
      </x:c>
    </x:row>
    <x:row r="135">
      <x:c r="A135" s="31" t="str">
        <x:v>BA-SUP11</x:v>
      </x:c>
      <x:c r="B135" s="31" t="str">
        <x:v>PROC.BankAccount</x:v>
      </x:c>
      <x:c r="C135" s="31" t="str">
        <x:v>蓝盾安全收款账户</x:v>
      </x:c>
      <x:c r="D135" s="31" t="str">
        <x:v>CASE-007</x:v>
      </x:c>
      <x:c r="E135" s="31" t="str"/>
      <x:c r="F135" s="31" t="str">
        <x:v>Treasury</x:v>
      </x:c>
      <x:c r="G135" s="31" t="str">
        <x:v>BA-SUP11</x:v>
      </x:c>
      <x:c r="H135" s="69" t="n">
        <x:v>46023</x:v>
      </x:c>
      <x:c r="I135" s="69"/>
      <x:c r="J135" s="31" t="str">
        <x:v>有效</x:v>
      </x:c>
      <x:c r="K135" s="31" t="str">
        <x:v>{"account_no_masked":"6222****0711","owner_name":"蓝盾安全服务有限公司","bank_name":"演示银行"}</x:v>
      </x:c>
    </x:row>
    <x:row r="136">
      <x:c r="A136" s="31" t="str">
        <x:v>BA-SUP12</x:v>
      </x:c>
      <x:c r="B136" s="31" t="str">
        <x:v>PROC.BankAccount</x:v>
      </x:c>
      <x:c r="C136" s="31" t="str">
        <x:v>诚达服务器收款账户</x:v>
      </x:c>
      <x:c r="D136" s="31" t="str">
        <x:v>CASE-008</x:v>
      </x:c>
      <x:c r="E136" s="31" t="str"/>
      <x:c r="F136" s="31" t="str">
        <x:v>Treasury</x:v>
      </x:c>
      <x:c r="G136" s="31" t="str">
        <x:v>BA-SUP12</x:v>
      </x:c>
      <x:c r="H136" s="69" t="n">
        <x:v>46023</x:v>
      </x:c>
      <x:c r="I136" s="69"/>
      <x:c r="J136" s="31" t="str">
        <x:v>有效</x:v>
      </x:c>
      <x:c r="K136" s="31" t="str">
        <x:v>{"account_no_masked":"6222****0812","owner_name":"诚达服务器技术有限公司","bank_name":"演示银行"}</x:v>
      </x:c>
    </x:row>
    <x:row r="137">
      <x:c r="A137" s="31" t="str">
        <x:v>BA-GUAR-001</x:v>
      </x:c>
      <x:c r="B137" s="31" t="str">
        <x:v>PROC.BankAccount</x:v>
      </x:c>
      <x:c r="C137" s="31" t="str">
        <x:v>李强控制保证金账户</x:v>
      </x:c>
      <x:c r="D137" s="31" t="str">
        <x:v>CASE-004</x:v>
      </x:c>
      <x:c r="E137" s="31" t="str"/>
      <x:c r="F137" s="31" t="str">
        <x:v>Treasury</x:v>
      </x:c>
      <x:c r="G137" s="31" t="str">
        <x:v>BA-GUAR-001</x:v>
      </x:c>
      <x:c r="H137" s="69" t="n">
        <x:v>46023</x:v>
      </x:c>
      <x:c r="I137" s="69"/>
      <x:c r="J137" s="31" t="str">
        <x:v>有效</x:v>
      </x:c>
      <x:c r="K137" s="31" t="str">
        <x:v>{"account_no_masked":"6222****3819","owner_name":"李强","bank_name":"演示银行"}</x:v>
      </x:c>
    </x:row>
    <x:row r="138">
      <x:c r="A138" s="31" t="str">
        <x:v>PAY-006</x:v>
      </x:c>
      <x:c r="B138" s="31" t="str">
        <x:v>PROC.Payment</x:v>
      </x:c>
      <x:c r="C138" s="31" t="str">
        <x:v>存储设备合同付款</x:v>
      </x:c>
      <x:c r="D138" s="31" t="str">
        <x:v>CASE-006</x:v>
      </x:c>
      <x:c r="E138" s="31" t="str">
        <x:v>ORG-FIN</x:v>
      </x:c>
      <x:c r="F138" s="31" t="str">
        <x:v>Treasury</x:v>
      </x:c>
      <x:c r="G138" s="31" t="str">
        <x:v>PAY-006</x:v>
      </x:c>
      <x:c r="H138" s="69" t="n">
        <x:v>46023</x:v>
      </x:c>
      <x:c r="I138" s="69"/>
      <x:c r="J138" s="31" t="str">
        <x:v>有效</x:v>
      </x:c>
      <x:c r="K138" s="31" t="str">
        <x:v>{"payment_amount":4860000,"paid_at":"2026-05-18 15:00:00","payment_status":"成功","direction":"付款","from_account":"BA-GROUP-006","to_account":"BA-SUP10"}</x:v>
      </x:c>
    </x:row>
    <x:row r="139">
      <x:c r="A139" s="31" t="str">
        <x:v>PAY-007</x:v>
      </x:c>
      <x:c r="B139" s="31" t="str">
        <x:v>PROC.Payment</x:v>
      </x:c>
      <x:c r="C139" s="31" t="str">
        <x:v>安全运营服务预付款</x:v>
      </x:c>
      <x:c r="D139" s="31" t="str">
        <x:v>CASE-007</x:v>
      </x:c>
      <x:c r="E139" s="31" t="str">
        <x:v>ORG-FIN</x:v>
      </x:c>
      <x:c r="F139" s="31" t="str">
        <x:v>Treasury</x:v>
      </x:c>
      <x:c r="G139" s="31" t="str">
        <x:v>PAY-007</x:v>
      </x:c>
      <x:c r="H139" s="69" t="n">
        <x:v>46023</x:v>
      </x:c>
      <x:c r="I139" s="69"/>
      <x:c r="J139" s="31" t="str">
        <x:v>有效</x:v>
      </x:c>
      <x:c r="K139" s="31" t="str">
        <x:v>{"payment_amount":8370000,"paid_at":"2026-05-21 11:00:00","payment_status":"成功"}</x:v>
      </x:c>
    </x:row>
    <x:row r="140">
      <x:c r="A140" s="32" t="str">
        <x:v>PAY-008</x:v>
      </x:c>
      <x:c r="B140" s="32" t="str">
        <x:v>PROC.Payment</x:v>
      </x:c>
      <x:c r="C140" s="32" t="str">
        <x:v>通用服务器验收付款</x:v>
      </x:c>
      <x:c r="D140" s="32" t="str">
        <x:v>CASE-008</x:v>
      </x:c>
      <x:c r="E140" s="32" t="str">
        <x:v>ORG-FIN</x:v>
      </x:c>
      <x:c r="F140" s="32" t="str">
        <x:v>Treasury</x:v>
      </x:c>
      <x:c r="G140" s="32" t="str">
        <x:v>PAY-008</x:v>
      </x:c>
      <x:c r="H140" s="70" t="n">
        <x:v>46023</x:v>
      </x:c>
      <x:c r="I140" s="70"/>
      <x:c r="J140" s="32" t="str">
        <x:v>有效</x:v>
      </x:c>
      <x:c r="K140" s="32" t="str">
        <x:v>{"payment_amount":9620000,"paid_at":"2026-06-05 11:00:00","payment_status":"成功"}</x:v>
      </x:c>
    </x:row>
    <x:row r="141">
      <x:c r="A141" t="str">
        <x:v>CON-002A</x:v>
      </x:c>
      <x:c r="B141" t="str">
        <x:v>PROC.Contract</x:v>
      </x:c>
      <x:c r="C141" t="str">
        <x:v>办公终端第一批采购合同</x:v>
      </x:c>
      <x:c r="D141" t="str">
        <x:v>CASE-002</x:v>
      </x:c>
      <x:c r="E141" t="str">
        <x:v>ORG-PROC</x:v>
      </x:c>
      <x:c r="F141" t="str">
        <x:v>ContractSystem</x:v>
      </x:c>
      <x:c r="G141" t="str">
        <x:v>CON-002A</x:v>
      </x:c>
      <x:c r="H141" t="n">
        <x:v>46184.0625</x:v>
      </x:c>
      <x:c r="I141"/>
      <x:c r="J141" t="str">
        <x:v>有效</x:v>
      </x:c>
      <x:c r="K141" t="str">
        <x:v>{"supplier_id":"SUP-C002","contract_amount":720000,"signed_at":"2026-06-11 09:30:00"}</x:v>
      </x:c>
    </x:row>
    <x:row r="142">
      <x:c r="A142" t="str">
        <x:v>CON-002B</x:v>
      </x:c>
      <x:c r="B142" t="str">
        <x:v>PROC.Contract</x:v>
      </x:c>
      <x:c r="C142" t="str">
        <x:v>办公终端第二批采购合同</x:v>
      </x:c>
      <x:c r="D142" t="str">
        <x:v>CASE-002</x:v>
      </x:c>
      <x:c r="E142" t="str">
        <x:v>ORG-PROC</x:v>
      </x:c>
      <x:c r="F142" t="str">
        <x:v>ContractSystem</x:v>
      </x:c>
      <x:c r="G142" t="str">
        <x:v>CON-002B</x:v>
      </x:c>
      <x:c r="H142" t="n">
        <x:v>46192.0625</x:v>
      </x:c>
      <x:c r="I142"/>
      <x:c r="J142" t="str">
        <x:v>有效</x:v>
      </x:c>
      <x:c r="K142" t="str">
        <x:v>{"supplier_id":"SUP-C002","contract_amount":710000,"signed_at":"2026-06-19 09:30:00"}</x:v>
      </x:c>
    </x:row>
    <x:row r="143">
      <x:c r="A143" t="str">
        <x:v>CON-002C</x:v>
      </x:c>
      <x:c r="B143" t="str">
        <x:v>PROC.Contract</x:v>
      </x:c>
      <x:c r="C143" t="str">
        <x:v>办公终端第三批采购合同</x:v>
      </x:c>
      <x:c r="D143" t="str">
        <x:v>CASE-002</x:v>
      </x:c>
      <x:c r="E143" t="str">
        <x:v>ORG-PROC</x:v>
      </x:c>
      <x:c r="F143" t="str">
        <x:v>ContractSystem</x:v>
      </x:c>
      <x:c r="G143" t="str">
        <x:v>CON-002C</x:v>
      </x:c>
      <x:c r="H143" t="n">
        <x:v>46202.0625</x:v>
      </x:c>
      <x:c r="I143"/>
      <x:c r="J143" t="str">
        <x:v>有效</x:v>
      </x:c>
      <x:c r="K143" t="str">
        <x:v>{"supplier_id":"SUP-C002","contract_amount":730000,"signed_at":"2026-06-29 09:30:00"}</x:v>
      </x:c>
    </x:row>
    <x:row r="144">
      <x:c r="A144" t="str">
        <x:v>PER-LEGAL-004</x:v>
      </x:c>
      <x:c r="B144" t="str">
        <x:v>PROC.Person</x:v>
      </x:c>
      <x:c r="C144" t="str">
        <x:v>王新国</x:v>
      </x:c>
      <x:c r="D144" t="str">
        <x:v>CASE-004</x:v>
      </x:c>
      <x:c r="E144" t="str">
        <x:v>ORG-SEC</x:v>
      </x:c>
      <x:c r="F144" t="str">
        <x:v>DemoCasePackage</x:v>
      </x:c>
      <x:c r="G144" t="str">
        <x:v>PER-LEGAL-004</x:v>
      </x:c>
      <x:c r="H144" t="n">
        <x:v>45292</x:v>
      </x:c>
      <x:c r="I144"/>
      <x:c r="J144" t="str">
        <x:v>有效</x:v>
      </x:c>
      <x:c r="K144" t="str">
        <x:v>{"person_id":"PER-LEGAL-004","role":"采购项目外聘顾问/供应商法定代表人","employment_status":"在岗顾问"}</x:v>
      </x:c>
    </x:row>
    <x:row r="145">
      <x:c r="A145" t="str">
        <x:v>PER-EXEC-004</x:v>
      </x:c>
      <x:c r="B145" t="str">
        <x:v>PROC.Person</x:v>
      </x:c>
      <x:c r="C145" t="str">
        <x:v>周立</x:v>
      </x:c>
      <x:c r="D145" t="str">
        <x:v>CASE-004</x:v>
      </x:c>
      <x:c r="E145" t="str"/>
      <x:c r="F145" t="str">
        <x:v>DemoCasePackage</x:v>
      </x:c>
      <x:c r="G145" t="str">
        <x:v>PER-EXEC-004</x:v>
      </x:c>
      <x:c r="H145" t="n">
        <x:v>44562</x:v>
      </x:c>
      <x:c r="I145"/>
      <x:c r="J145" t="str">
        <x:v>有效</x:v>
      </x:c>
      <x:c r="K145" t="str">
        <x:v>{"person_id":"PER-EXEC-004","role":"供应商董事/监事","employment_status":"外部"}</x:v>
      </x:c>
    </x:row>
    <x:row r="146">
      <x:c r="A146" t="str">
        <x:v>PRJ-HBID-001</x:v>
      </x:c>
      <x:c r="B146" t="str">
        <x:v>PROC.PurchaseProject</x:v>
      </x:c>
      <x:c r="C146" t="str">
        <x:v>边界防火墙设备采购项目</x:v>
      </x:c>
      <x:c r="D146" t="str">
        <x:v>CASE-004</x:v>
      </x:c>
      <x:c r="E146" t="str">
        <x:v>ORG-SEC</x:v>
      </x:c>
      <x:c r="F146" t="str">
        <x:v>EProcurement</x:v>
      </x:c>
      <x:c r="G146" t="str">
        <x:v>PRJ-HBID-001</x:v>
      </x:c>
      <x:c r="H146" t="n">
        <x:v>45870</x:v>
      </x:c>
      <x:c r="I146"/>
      <x:c r="J146" t="str">
        <x:v>有效</x:v>
      </x:c>
      <x:c r="K146" t="str">
        <x:v>{"project_code":"PRJ-HBID-001","estimated_amount":6200000,"procurement_method":"公开招标","category":"网络安全设备","created_at":"2025-08-01 09:00:00"}</x:v>
      </x:c>
    </x:row>
    <x:row r="147">
      <x:c r="A147" t="str">
        <x:v>PRJ-HBID-002</x:v>
      </x:c>
      <x:c r="B147" t="str">
        <x:v>PROC.PurchaseProject</x:v>
      </x:c>
      <x:c r="C147" t="str">
        <x:v>零信任接入设备采购项目</x:v>
      </x:c>
      <x:c r="D147" t="str">
        <x:v>CASE-004</x:v>
      </x:c>
      <x:c r="E147" t="str">
        <x:v>ORG-SEC</x:v>
      </x:c>
      <x:c r="F147" t="str">
        <x:v>EProcurement</x:v>
      </x:c>
      <x:c r="G147" t="str">
        <x:v>PRJ-HBID-002</x:v>
      </x:c>
      <x:c r="H147" t="n">
        <x:v>45962</x:v>
      </x:c>
      <x:c r="I147"/>
      <x:c r="J147" t="str">
        <x:v>有效</x:v>
      </x:c>
      <x:c r="K147" t="str">
        <x:v>{"project_code":"PRJ-HBID-002","estimated_amount":7100000,"procurement_method":"公开招标","category":"网络安全设备","created_at":"2025-11-01 09:00:00"}</x:v>
      </x:c>
    </x:row>
    <x:row r="148">
      <x:c r="A148" t="str">
        <x:v>PRJ-HBID-003</x:v>
      </x:c>
      <x:c r="B148" t="str">
        <x:v>PROC.PurchaseProject</x:v>
      </x:c>
      <x:c r="C148" t="str">
        <x:v>安全隔离网闸采购项目</x:v>
      </x:c>
      <x:c r="D148" t="str">
        <x:v>CASE-004</x:v>
      </x:c>
      <x:c r="E148" t="str">
        <x:v>ORG-SEC</x:v>
      </x:c>
      <x:c r="F148" t="str">
        <x:v>EProcurement</x:v>
      </x:c>
      <x:c r="G148" t="str">
        <x:v>PRJ-HBID-003</x:v>
      </x:c>
      <x:c r="H148" t="n">
        <x:v>46054</x:v>
      </x:c>
      <x:c r="I148"/>
      <x:c r="J148" t="str">
        <x:v>有效</x:v>
      </x:c>
      <x:c r="K148" t="str">
        <x:v>{"project_code":"PRJ-HBID-003","estimated_amount":6800000,"procurement_method":"公开招标","category":"网络安全设备","created_at":"2026-02-01 09:00:00"}</x:v>
      </x:c>
    </x:row>
    <x:row r="149">
      <x:c r="A149" t="str">
        <x:v>BID-H001-A</x:v>
      </x:c>
      <x:c r="B149" t="str">
        <x:v>PROC.Bid</x:v>
      </x:c>
      <x:c r="C149" t="str">
        <x:v>安信网络历史投标1</x:v>
      </x:c>
      <x:c r="D149" t="str">
        <x:v>CASE-004</x:v>
      </x:c>
      <x:c r="E149" t="str"/>
      <x:c r="F149" t="str">
        <x:v>EProcurement</x:v>
      </x:c>
      <x:c r="G149" t="str">
        <x:v>BID-H001-A</x:v>
      </x:c>
      <x:c r="H149" t="n">
        <x:v>45890.04305555556</x:v>
      </x:c>
      <x:c r="I149"/>
      <x:c r="J149" t="str">
        <x:v>有效</x:v>
      </x:c>
      <x:c r="K149" t="str">
        <x:v>{"supplier_id":"SUP-C006","bid_amount":6080000,"submit_at":"2025-08-21 09:02:00"}</x:v>
      </x:c>
    </x:row>
    <x:row r="150">
      <x:c r="A150" t="str">
        <x:v>BID-H001-B</x:v>
      </x:c>
      <x:c r="B150" t="str">
        <x:v>PROC.Bid</x:v>
      </x:c>
      <x:c r="C150" t="str">
        <x:v>博远信息历史投标1</x:v>
      </x:c>
      <x:c r="D150" t="str">
        <x:v>CASE-004</x:v>
      </x:c>
      <x:c r="E150" t="str"/>
      <x:c r="F150" t="str">
        <x:v>EProcurement</x:v>
      </x:c>
      <x:c r="G150" t="str">
        <x:v>BID-H001-B</x:v>
      </x:c>
      <x:c r="H150" t="n">
        <x:v>45890.04513888889</x:v>
      </x:c>
      <x:c r="I150"/>
      <x:c r="J150" t="str">
        <x:v>有效</x:v>
      </x:c>
      <x:c r="K150" t="str">
        <x:v>{"supplier_id":"SUP-C007","bid_amount":6100000,"submit_at":"2025-08-21 09:05:00"}</x:v>
      </x:c>
    </x:row>
    <x:row r="151">
      <x:c r="A151" t="str">
        <x:v>BID-H001-C</x:v>
      </x:c>
      <x:c r="B151" t="str">
        <x:v>PROC.Bid</x:v>
      </x:c>
      <x:c r="C151" t="str">
        <x:v>同创科技历史投标1</x:v>
      </x:c>
      <x:c r="D151" t="str">
        <x:v>CASE-004</x:v>
      </x:c>
      <x:c r="E151" t="str"/>
      <x:c r="F151" t="str">
        <x:v>EProcurement</x:v>
      </x:c>
      <x:c r="G151" t="str">
        <x:v>BID-H001-C</x:v>
      </x:c>
      <x:c r="H151" t="n">
        <x:v>45890.04722222222</x:v>
      </x:c>
      <x:c r="I151"/>
      <x:c r="J151" t="str">
        <x:v>有效</x:v>
      </x:c>
      <x:c r="K151" t="str">
        <x:v>{"supplier_id":"SUP-C008","bid_amount":6120000,"submit_at":"2025-08-21 09:08:00"}</x:v>
      </x:c>
    </x:row>
    <x:row r="152">
      <x:c r="A152" t="str">
        <x:v>BID-H002-A</x:v>
      </x:c>
      <x:c r="B152" t="str">
        <x:v>PROC.Bid</x:v>
      </x:c>
      <x:c r="C152" t="str">
        <x:v>安信网络历史投标2</x:v>
      </x:c>
      <x:c r="D152" t="str">
        <x:v>CASE-004</x:v>
      </x:c>
      <x:c r="E152" t="str"/>
      <x:c r="F152" t="str">
        <x:v>EProcurement</x:v>
      </x:c>
      <x:c r="G152" t="str">
        <x:v>BID-H002-A</x:v>
      </x:c>
      <x:c r="H152" t="n">
        <x:v>45983.20972222222</x:v>
      </x:c>
      <x:c r="I152"/>
      <x:c r="J152" t="str">
        <x:v>有效</x:v>
      </x:c>
      <x:c r="K152" t="str">
        <x:v>{"supplier_id":"SUP-C006","bid_amount":6950000,"submit_at":"2025-11-22 13:02:00"}</x:v>
      </x:c>
    </x:row>
    <x:row r="153">
      <x:c r="A153" t="str">
        <x:v>BID-H002-B</x:v>
      </x:c>
      <x:c r="B153" t="str">
        <x:v>PROC.Bid</x:v>
      </x:c>
      <x:c r="C153" t="str">
        <x:v>博远信息历史投标2</x:v>
      </x:c>
      <x:c r="D153" t="str">
        <x:v>CASE-004</x:v>
      </x:c>
      <x:c r="E153" t="str"/>
      <x:c r="F153" t="str">
        <x:v>EProcurement</x:v>
      </x:c>
      <x:c r="G153" t="str">
        <x:v>BID-H002-B</x:v>
      </x:c>
      <x:c r="H153" t="n">
        <x:v>45983.211805555555</x:v>
      </x:c>
      <x:c r="I153"/>
      <x:c r="J153" t="str">
        <x:v>有效</x:v>
      </x:c>
      <x:c r="K153" t="str">
        <x:v>{"supplier_id":"SUP-C007","bid_amount":6980000,"submit_at":"2025-11-22 13:05:00"}</x:v>
      </x:c>
    </x:row>
    <x:row r="154">
      <x:c r="A154" t="str">
        <x:v>BID-H002-C</x:v>
      </x:c>
      <x:c r="B154" t="str">
        <x:v>PROC.Bid</x:v>
      </x:c>
      <x:c r="C154" t="str">
        <x:v>同创科技历史投标2</x:v>
      </x:c>
      <x:c r="D154" t="str">
        <x:v>CASE-004</x:v>
      </x:c>
      <x:c r="E154" t="str"/>
      <x:c r="F154" t="str">
        <x:v>EProcurement</x:v>
      </x:c>
      <x:c r="G154" t="str">
        <x:v>BID-H002-C</x:v>
      </x:c>
      <x:c r="H154" t="n">
        <x:v>45983.21388888889</x:v>
      </x:c>
      <x:c r="I154"/>
      <x:c r="J154" t="str">
        <x:v>有效</x:v>
      </x:c>
      <x:c r="K154" t="str">
        <x:v>{"supplier_id":"SUP-C008","bid_amount":7010000,"submit_at":"2025-11-22 13:08:00"}</x:v>
      </x:c>
    </x:row>
    <x:row r="155">
      <x:c r="A155" t="str">
        <x:v>BID-H003-A</x:v>
      </x:c>
      <x:c r="B155" t="str">
        <x:v>PROC.Bid</x:v>
      </x:c>
      <x:c r="C155" t="str">
        <x:v>安信网络历史投标3</x:v>
      </x:c>
      <x:c r="D155" t="str">
        <x:v>CASE-004</x:v>
      </x:c>
      <x:c r="E155" t="str"/>
      <x:c r="F155" t="str">
        <x:v>EProcurement</x:v>
      </x:c>
      <x:c r="G155" t="str">
        <x:v>BID-H003-A</x:v>
      </x:c>
      <x:c r="H155" t="n">
        <x:v>46076.08472222222</x:v>
      </x:c>
      <x:c r="I155"/>
      <x:c r="J155" t="str">
        <x:v>有效</x:v>
      </x:c>
      <x:c r="K155" t="str">
        <x:v>{"supplier_id":"SUP-C006","bid_amount":6660000,"submit_at":"2026-02-23 10:02:00"}</x:v>
      </x:c>
    </x:row>
    <x:row r="156">
      <x:c r="A156" t="str">
        <x:v>BID-H003-B</x:v>
      </x:c>
      <x:c r="B156" t="str">
        <x:v>PROC.Bid</x:v>
      </x:c>
      <x:c r="C156" t="str">
        <x:v>博远信息历史投标3</x:v>
      </x:c>
      <x:c r="D156" t="str">
        <x:v>CASE-004</x:v>
      </x:c>
      <x:c r="E156" t="str"/>
      <x:c r="F156" t="str">
        <x:v>EProcurement</x:v>
      </x:c>
      <x:c r="G156" t="str">
        <x:v>BID-H003-B</x:v>
      </x:c>
      <x:c r="H156" t="n">
        <x:v>46076.086805555555</x:v>
      </x:c>
      <x:c r="I156"/>
      <x:c r="J156" t="str">
        <x:v>有效</x:v>
      </x:c>
      <x:c r="K156" t="str">
        <x:v>{"supplier_id":"SUP-C007","bid_amount":6690000,"submit_at":"2026-02-23 10:05:00"}</x:v>
      </x:c>
    </x:row>
    <x:row r="157">
      <x:c r="A157" t="str">
        <x:v>BID-H003-C</x:v>
      </x:c>
      <x:c r="B157" t="str">
        <x:v>PROC.Bid</x:v>
      </x:c>
      <x:c r="C157" t="str">
        <x:v>同创科技历史投标3</x:v>
      </x:c>
      <x:c r="D157" t="str">
        <x:v>CASE-004</x:v>
      </x:c>
      <x:c r="E157" t="str"/>
      <x:c r="F157" t="str">
        <x:v>EProcurement</x:v>
      </x:c>
      <x:c r="G157" t="str">
        <x:v>BID-H003-C</x:v>
      </x:c>
      <x:c r="H157" t="n">
        <x:v>46076.08888888889</x:v>
      </x:c>
      <x:c r="I157"/>
      <x:c r="J157" t="str">
        <x:v>有效</x:v>
      </x:c>
      <x:c r="K157" t="str">
        <x:v>{"supplier_id":"SUP-C008","bid_amount":6720000,"submit_at":"2026-02-23 10:08:00"}</x:v>
      </x:c>
    </x:row>
    <x:row r="158">
      <x:c r="A158" t="str">
        <x:v>EVAL-003A</x:v>
      </x:c>
      <x:c r="B158" t="str">
        <x:v>PROC.BidEvaluation</x:v>
      </x:c>
      <x:c r="C158" t="str">
        <x:v>华夏数智智能评标结果</x:v>
      </x:c>
      <x:c r="D158" t="str">
        <x:v>CASE-003</x:v>
      </x:c>
      <x:c r="E158" t="str">
        <x:v>ORG-DATA</x:v>
      </x:c>
      <x:c r="F158" t="str">
        <x:v>AI-Evaluation</x:v>
      </x:c>
      <x:c r="G158" t="str">
        <x:v>EVAL-003A</x:v>
      </x:c>
      <x:c r="H158" t="n">
        <x:v>46196.083333333336</x:v>
      </x:c>
      <x:c r="I158"/>
      <x:c r="J158" t="str">
        <x:v>有效</x:v>
      </x:c>
      <x:c r="K158" t="str">
        <x:v>{"bid_id":"BID-003A","supplier_id":"SUP-C003","total_score":54,"risk_score":92,"rating":"D","recommendation":"暂停中标并核查投标同源证据"}</x:v>
      </x:c>
    </x:row>
    <x:row r="159">
      <x:c r="A159" t="str">
        <x:v>EVAL-003B</x:v>
      </x:c>
      <x:c r="B159" t="str">
        <x:v>PROC.BidEvaluation</x:v>
      </x:c>
      <x:c r="C159" t="str">
        <x:v>中科云联智能评标结果</x:v>
      </x:c>
      <x:c r="D159" t="str">
        <x:v>CASE-003</x:v>
      </x:c>
      <x:c r="E159" t="str">
        <x:v>ORG-DATA</x:v>
      </x:c>
      <x:c r="F159" t="str">
        <x:v>AI-Evaluation</x:v>
      </x:c>
      <x:c r="G159" t="str">
        <x:v>EVAL-003B</x:v>
      </x:c>
      <x:c r="H159" t="n">
        <x:v>46196.083333333336</x:v>
      </x:c>
      <x:c r="I159"/>
      <x:c r="J159" t="str">
        <x:v>有效</x:v>
      </x:c>
      <x:c r="K159" t="str">
        <x:v>{"bid_id":"BID-003B","supplier_id":"SUP-C004","total_score":25,"risk_score":96,"rating":"D","recommendation":"排除并核查陪标壳企业"}</x:v>
      </x:c>
    </x:row>
    <x:row r="160">
      <x:c r="A160" t="str">
        <x:v>EVAL-003C</x:v>
      </x:c>
      <x:c r="B160" t="str">
        <x:v>PROC.BidEvaluation</x:v>
      </x:c>
      <x:c r="C160" t="str">
        <x:v>国信软件智能评标结果</x:v>
      </x:c>
      <x:c r="D160" t="str">
        <x:v>CASE-003</x:v>
      </x:c>
      <x:c r="E160" t="str">
        <x:v>ORG-DATA</x:v>
      </x:c>
      <x:c r="F160" t="str">
        <x:v>AI-Evaluation</x:v>
      </x:c>
      <x:c r="G160" t="str">
        <x:v>EVAL-003C</x:v>
      </x:c>
      <x:c r="H160" t="n">
        <x:v>46196.083333333336</x:v>
      </x:c>
      <x:c r="I160"/>
      <x:c r="J160" t="str">
        <x:v>有效</x:v>
      </x:c>
      <x:c r="K160" t="str">
        <x:v>{"bid_id":"BID-003C","supplier_id":"SUP-C005","total_score":25,"risk_score":95,"rating":"D","recommendation":"排除并核查陪标壳企业"}</x:v>
      </x:c>
    </x:row>
    <x:row r="161">
      <x:c r="A161" t="str">
        <x:v>EVAL-004A</x:v>
      </x:c>
      <x:c r="B161" t="str">
        <x:v>PROC.BidEvaluation</x:v>
      </x:c>
      <x:c r="C161" t="str">
        <x:v>安信网络智能评标结果</x:v>
      </x:c>
      <x:c r="D161" t="str">
        <x:v>CASE-004</x:v>
      </x:c>
      <x:c r="E161" t="str">
        <x:v>ORG-SEC</x:v>
      </x:c>
      <x:c r="F161" t="str">
        <x:v>AI-Evaluation</x:v>
      </x:c>
      <x:c r="G161" t="str">
        <x:v>EVAL-004A</x:v>
      </x:c>
      <x:c r="H161" t="n">
        <x:v>46172.083333333336</x:v>
      </x:c>
      <x:c r="I161"/>
      <x:c r="J161" t="str">
        <x:v>有效</x:v>
      </x:c>
      <x:c r="K161" t="str">
        <x:v>{"bid_id":"BID-004A","supplier_id":"SUP-C006","total_score":46,"risk_score":97,"rating":"D","recommendation":"暂停中标并核查关联投标"}</x:v>
      </x:c>
    </x:row>
    <x:row r="162">
      <x:c r="A162" t="str">
        <x:v>EVAL-004B</x:v>
      </x:c>
      <x:c r="B162" t="str">
        <x:v>PROC.BidEvaluation</x:v>
      </x:c>
      <x:c r="C162" t="str">
        <x:v>博远信息智能评标结果</x:v>
      </x:c>
      <x:c r="D162" t="str">
        <x:v>CASE-004</x:v>
      </x:c>
      <x:c r="E162" t="str">
        <x:v>ORG-SEC</x:v>
      </x:c>
      <x:c r="F162" t="str">
        <x:v>AI-Evaluation</x:v>
      </x:c>
      <x:c r="G162" t="str">
        <x:v>EVAL-004B</x:v>
      </x:c>
      <x:c r="H162" t="n">
        <x:v>46172.083333333336</x:v>
      </x:c>
      <x:c r="I162"/>
      <x:c r="J162" t="str">
        <x:v>有效</x:v>
      </x:c>
      <x:c r="K162" t="str">
        <x:v>{"bid_id":"BID-004B","supplier_id":"SUP-C007","total_score":41,"risk_score":96,"rating":"D","recommendation":"暂停并核查交叉持股"}</x:v>
      </x:c>
    </x:row>
    <x:row r="163">
      <x:c r="A163" t="str">
        <x:v>EVAL-004C</x:v>
      </x:c>
      <x:c r="B163" t="str">
        <x:v>PROC.BidEvaluation</x:v>
      </x:c>
      <x:c r="C163" t="str">
        <x:v>同创科技智能评标结果</x:v>
      </x:c>
      <x:c r="D163" t="str">
        <x:v>CASE-004</x:v>
      </x:c>
      <x:c r="E163" t="str">
        <x:v>ORG-SEC</x:v>
      </x:c>
      <x:c r="F163" t="str">
        <x:v>AI-Evaluation</x:v>
      </x:c>
      <x:c r="G163" t="str">
        <x:v>EVAL-004C</x:v>
      </x:c>
      <x:c r="H163" t="n">
        <x:v>46172.083333333336</x:v>
      </x:c>
      <x:c r="I163"/>
      <x:c r="J163" t="str">
        <x:v>有效</x:v>
      </x:c>
      <x:c r="K163" t="str">
        <x:v>{"bid_id":"BID-004C","supplier_id":"SUP-C008","total_score":37,"risk_score":96,"rating":"D","recommendation":"暂停并核查高管重合"}</x:v>
      </x:c>
    </x:row>
    <x:row r="164">
      <x:c r="A164" t="str">
        <x:v>CUST-C006</x:v>
      </x:c>
      <x:c r="B164" t="str">
        <x:v>PROC.Customer</x:v>
      </x:c>
      <x:c r="C164" t="str">
        <x:v>江苏云海商贸有限公司</x:v>
      </x:c>
      <x:c r="D164" t="str">
        <x:v>CASE-006</x:v>
      </x:c>
      <x:c r="E164" t="str"/>
      <x:c r="F164" t="str">
        <x:v>DemoCasePackage</x:v>
      </x:c>
      <x:c r="G164" t="str">
        <x:v>CUST-C006</x:v>
      </x:c>
      <x:c r="H164" t="n">
        <x:v>43998</x:v>
      </x:c>
      <x:c r="I164"/>
      <x:c r="J164" t="str">
        <x:v>有效</x:v>
      </x:c>
      <x:c r="K164" t="str">
        <x:v>{"credit_code":"91320100DEMO0010X","customer_type":"下游客户","note":"与SUP-C010统一社会信用代码相同，角色主数据重复"}</x:v>
      </x:c>
    </x:row>
    <x:row r="165">
      <x:c r="A165" t="str">
        <x:v>ITEM-C006</x:v>
      </x:c>
      <x:c r="B165" t="str">
        <x:v>PROC.TradeItem</x:v>
      </x:c>
      <x:c r="C165" t="str">
        <x:v>企业级存储阵列X900</x:v>
      </x:c>
      <x:c r="D165" t="str">
        <x:v>CASE-006</x:v>
      </x:c>
      <x:c r="E165" t="str"/>
      <x:c r="F165" t="str">
        <x:v>ItemMDM</x:v>
      </x:c>
      <x:c r="G165" t="str">
        <x:v>ITEM-C006</x:v>
      </x:c>
      <x:c r="H165" t="n">
        <x:v>46023</x:v>
      </x:c>
      <x:c r="I165"/>
      <x:c r="J165" t="str">
        <x:v>有效</x:v>
      </x:c>
      <x:c r="K165" t="str">
        <x:v>{"item_code":"STORAGE-X900","specification":"X900/16TB/双控","quantity_unit":"台"}</x:v>
      </x:c>
    </x:row>
    <x:row r="166">
      <x:c r="A166" t="str">
        <x:v>CON-SALE-006A</x:v>
      </x:c>
      <x:c r="B166" t="str">
        <x:v>PROC.Contract</x:v>
      </x:c>
      <x:c r="C166" t="str">
        <x:v>云创技术存储阵列销售合同</x:v>
      </x:c>
      <x:c r="D166" t="str">
        <x:v>CASE-006</x:v>
      </x:c>
      <x:c r="E166" t="str">
        <x:v>ORG-AFFIL</x:v>
      </x:c>
      <x:c r="F166" t="str">
        <x:v>ContractSystem</x:v>
      </x:c>
      <x:c r="G166" t="str">
        <x:v>CON-SALE-006A</x:v>
      </x:c>
      <x:c r="H166" t="n">
        <x:v>46153.083333333336</x:v>
      </x:c>
      <x:c r="I166"/>
      <x:c r="J166" t="str">
        <x:v>有效</x:v>
      </x:c>
      <x:c r="K166" t="str">
        <x:v>{"business_direction":"销售","buyer_id":"CUST-C006","seller_id":"ORG-AFFIL","subject_name":"企业级存储阵列X900","specification":"X900/16TB/双控","quantity":60,"unit_price":81005,"contract_amount":4860300,"payment_terms_days":120,"signed_at":"2026-05-11 10:00:00"}</x:v>
      </x:c>
    </x:row>
    <x:row r="167">
      <x:c r="A167" t="str">
        <x:v>CON-SALE-006B</x:v>
      </x:c>
      <x:c r="B167" t="str">
        <x:v>PROC.Contract</x:v>
      </x:c>
      <x:c r="C167" t="str">
        <x:v>数字基础设施存储阵列销售合同</x:v>
      </x:c>
      <x:c r="D167" t="str">
        <x:v>CASE-006</x:v>
      </x:c>
      <x:c r="E167" t="str">
        <x:v>ORG-INFRA</x:v>
      </x:c>
      <x:c r="F167" t="str">
        <x:v>ContractSystem</x:v>
      </x:c>
      <x:c r="G167" t="str">
        <x:v>CON-SALE-006B</x:v>
      </x:c>
      <x:c r="H167" t="n">
        <x:v>46154.083333333336</x:v>
      </x:c>
      <x:c r="I167"/>
      <x:c r="J167" t="str">
        <x:v>有效</x:v>
      </x:c>
      <x:c r="K167" t="str">
        <x:v>{"business_direction":"销售","buyer_id":"CUST-C006","seller_id":"ORG-INFRA","subject_name":"企业级存储阵列X900","specification":"X900/16TB/双控","quantity":60,"unit_price":81003.3333,"contract_amount":4860200,"payment_terms_days":120,"signed_at":"2026-05-12 10:00:00"}</x:v>
      </x:c>
    </x:row>
    <x:row r="168">
      <x:c r="A168" t="str">
        <x:v>INV-SALE-006A</x:v>
      </x:c>
      <x:c r="B168" t="str">
        <x:v>PROC.Invoice</x:v>
      </x:c>
      <x:c r="C168" t="str">
        <x:v>云创技术存储阵列销售发票</x:v>
      </x:c>
      <x:c r="D168" t="str">
        <x:v>CASE-006</x:v>
      </x:c>
      <x:c r="E168" t="str">
        <x:v>ORG-AFFIL</x:v>
      </x:c>
      <x:c r="F168" t="str">
        <x:v>InvoicePlatform</x:v>
      </x:c>
      <x:c r="G168" t="str">
        <x:v>INV-SALE-006A</x:v>
      </x:c>
      <x:c r="H168" t="n">
        <x:v>46159.125</x:v>
      </x:c>
      <x:c r="I168"/>
      <x:c r="J168" t="str">
        <x:v>有效</x:v>
      </x:c>
      <x:c r="K168" t="str">
        <x:v>{"invoice_code":"043001900DEMO06A","invoice_amount":4860300,"issued_at":"2026-05-17 11:00:00","issuer_id":"ORG-AFFIL","buyer_id":"CUST-C006"}</x:v>
      </x:c>
    </x:row>
    <x:row r="169">
      <x:c r="A169" t="str">
        <x:v>INV-SALE-006B</x:v>
      </x:c>
      <x:c r="B169" t="str">
        <x:v>PROC.Invoice</x:v>
      </x:c>
      <x:c r="C169" t="str">
        <x:v>数字基础设施存储阵列销售发票</x:v>
      </x:c>
      <x:c r="D169" t="str">
        <x:v>CASE-006</x:v>
      </x:c>
      <x:c r="E169" t="str">
        <x:v>ORG-INFRA</x:v>
      </x:c>
      <x:c r="F169" t="str">
        <x:v>InvoicePlatform</x:v>
      </x:c>
      <x:c r="G169" t="str">
        <x:v>INV-SALE-006B</x:v>
      </x:c>
      <x:c r="H169" t="n">
        <x:v>46159.12847222222</x:v>
      </x:c>
      <x:c r="I169"/>
      <x:c r="J169" t="str">
        <x:v>有效</x:v>
      </x:c>
      <x:c r="K169" t="str">
        <x:v>{"invoice_code":"043001900DEMO06B","invoice_amount":4860200,"issued_at":"2026-05-17 11:05:00","issuer_id":"ORG-INFRA","buyer_id":"CUST-C006"}</x:v>
      </x:c>
    </x:row>
    <x:row r="170">
      <x:c r="A170" t="str">
        <x:v>PAY-COLLECT-006A</x:v>
      </x:c>
      <x:c r="B170" t="str">
        <x:v>PROC.Payment</x:v>
      </x:c>
      <x:c r="C170" t="str">
        <x:v>存储阵列销售首笔回款</x:v>
      </x:c>
      <x:c r="D170" t="str">
        <x:v>CASE-006</x:v>
      </x:c>
      <x:c r="E170" t="str">
        <x:v>ORG-INFRA</x:v>
      </x:c>
      <x:c r="F170" t="str">
        <x:v>BankFlow</x:v>
      </x:c>
      <x:c r="G170" t="str">
        <x:v>PAY-COLLECT-006A</x:v>
      </x:c>
      <x:c r="H170" t="n">
        <x:v>46160.38888888889</x:v>
      </x:c>
      <x:c r="I170"/>
      <x:c r="J170" t="str">
        <x:v>有效</x:v>
      </x:c>
      <x:c r="K170" t="str">
        <x:v>{"direction":"收款","payment_amount":4620000,"paid_at":"2026-05-18 17:20:00","from_account":"BA-SUP10","to_account":"BA-GROUP-006","status":"成功"}</x:v>
      </x:c>
    </x:row>
    <x:row r="171">
      <x:c r="A171" t="str">
        <x:v>PAY-COLLECT-006B</x:v>
      </x:c>
      <x:c r="B171" t="str">
        <x:v>PROC.Payment</x:v>
      </x:c>
      <x:c r="C171" t="str">
        <x:v>存储阵列销售尾款</x:v>
      </x:c>
      <x:c r="D171" t="str">
        <x:v>CASE-006</x:v>
      </x:c>
      <x:c r="E171" t="str">
        <x:v>ORG-INFRA</x:v>
      </x:c>
      <x:c r="F171" t="str">
        <x:v>BankFlow</x:v>
      </x:c>
      <x:c r="G171" t="str">
        <x:v>PAY-COLLECT-006B</x:v>
      </x:c>
      <x:c r="H171" t="n">
        <x:v>46162.083333333336</x:v>
      </x:c>
      <x:c r="I171"/>
      <x:c r="J171" t="str">
        <x:v>有效</x:v>
      </x:c>
      <x:c r="K171" t="str">
        <x:v>{"direction":"收款","payment_amount":240300,"paid_at":"2026-05-20 10:00:00","from_account":"BA-SUP10","to_account":"BA-GROUP-006","status":"成功"}</x:v>
      </x:c>
    </x:row>
    <x:row r="172">
      <x:c r="A172" t="str">
        <x:v>BA-GROUP-006</x:v>
      </x:c>
      <x:c r="B172" t="str">
        <x:v>PROC.BankAccount</x:v>
      </x:c>
      <x:c r="C172" t="str">
        <x:v>数字基础设施事业部结算账户</x:v>
      </x:c>
      <x:c r="D172" t="str">
        <x:v>CASE-006</x:v>
      </x:c>
      <x:c r="E172" t="str">
        <x:v>ORG-INFRA</x:v>
      </x:c>
      <x:c r="F172" t="str">
        <x:v>Treasury</x:v>
      </x:c>
      <x:c r="G172" t="str">
        <x:v>BA-GROUP-006</x:v>
      </x:c>
      <x:c r="H172" t="n">
        <x:v>43831</x:v>
      </x:c>
      <x:c r="I172"/>
      <x:c r="J172" t="str">
        <x:v>有效</x:v>
      </x:c>
      <x:c r="K172" t="str">
        <x:v>{"account_no_masked":"6222****6606","owner_name":"数字基础设施事业部","bank_name":"演示银行","account_type":"对公"}</x:v>
      </x:c>
    </x:row>
    <x:row r="173">
      <x:c r="A173" t="str">
        <x:v>AR-006A</x:v>
      </x:c>
      <x:c r="B173" t="str">
        <x:v>PROC.Receivable</x:v>
      </x:c>
      <x:c r="C173" t="str">
        <x:v>云创技术销售合同应收</x:v>
      </x:c>
      <x:c r="D173" t="str">
        <x:v>CASE-006</x:v>
      </x:c>
      <x:c r="E173" t="str">
        <x:v>ORG-AFFIL</x:v>
      </x:c>
      <x:c r="F173" t="str">
        <x:v>Finance</x:v>
      </x:c>
      <x:c r="G173" t="str">
        <x:v>AR-006A</x:v>
      </x:c>
      <x:c r="H173" t="n">
        <x:v>46159.166666666664</x:v>
      </x:c>
      <x:c r="I173"/>
      <x:c r="J173" t="str">
        <x:v>有效</x:v>
      </x:c>
      <x:c r="K173" t="str">
        <x:v>{"contract_id":"CON-SALE-006A","customer_id":"CUST-C006","balance":4860300,"due_at":"2026-09-14"}</x:v>
      </x:c>
    </x:row>
    <x:row r="174">
      <x:c r="A174" t="str">
        <x:v>PP-006A</x:v>
      </x:c>
      <x:c r="B174" t="str">
        <x:v>PROC.Prepayment</x:v>
      </x:c>
      <x:c r="C174" t="str">
        <x:v>存储设备采购预付</x:v>
      </x:c>
      <x:c r="D174" t="str">
        <x:v>CASE-006</x:v>
      </x:c>
      <x:c r="E174" t="str">
        <x:v>ORG-INFRA</x:v>
      </x:c>
      <x:c r="F174" t="str">
        <x:v>Finance</x:v>
      </x:c>
      <x:c r="G174" t="str">
        <x:v>PP-006A</x:v>
      </x:c>
      <x:c r="H174" t="n">
        <x:v>46154.166666666664</x:v>
      </x:c>
      <x:c r="I174"/>
      <x:c r="J174" t="str">
        <x:v>有效</x:v>
      </x:c>
      <x:c r="K174" t="str">
        <x:v>{"contract_id":"CON-006","supplier_id":"SUP-C010","balance":4860000,"due_at":"2026-05-18"}</x:v>
      </x:c>
    </x:row>
    <x:row r="175">
      <x:c r="A175" t="str">
        <x:v>PER-TRD-CTRL-006</x:v>
      </x:c>
      <x:c r="B175" t="str">
        <x:v>PROC.Person</x:v>
      </x:c>
      <x:c r="C175" t="str">
        <x:v>许海峰</x:v>
      </x:c>
      <x:c r="D175" t="str">
        <x:v>CASE-006</x:v>
      </x:c>
      <x:c r="E175" t="str"/>
      <x:c r="F175" t="str">
        <x:v>ExternalCorp</x:v>
      </x:c>
      <x:c r="G175" t="str">
        <x:v>PER-TRD-CTRL-006</x:v>
      </x:c>
      <x:c r="H175" t="n">
        <x:v>42370</x:v>
      </x:c>
      <x:c r="I175"/>
      <x:c r="J175" t="str">
        <x:v>有效</x:v>
      </x:c>
      <x:c r="K175" t="str">
        <x:v>{"person_id":"PER-TRD-CTRL-006","role":"供应商及下游客户实际控制人","employment_status":"外部"}</x:v>
      </x:c>
    </x:row>
  </x:sheetData>
  <x:mergeCells>
    <x:mergeCell ref="A1:K1"/>
    <x:mergeCell ref="A2:K2"/>
  </x:mergeCells>
  <x:pageMargins left="0.7" right="0.7" top="0.75" bottom="0.75" header="0.3" footer="0.3"/>
  <x:tableParts count="1">
    <x:tablePart xmlns:r="http://schemas.openxmlformats.org/officeDocument/2006/relationships" r:id="R6d8a1313d3624a4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18" hidden="0" customWidth="1"/>
    <x:col min="4" max="4" width="18" hidden="0" customWidth="1"/>
    <x:col min="5" max="5" width="12" hidden="0" customWidth="1"/>
    <x:col min="6" max="6" width="18" hidden="0" customWidth="1"/>
    <x:col min="7" max="7" width="18" hidden="0" customWidth="1"/>
    <x:col min="8" max="8" width="16" hidden="0" customWidth="1"/>
    <x:col min="9" max="9" width="10" hidden="0" customWidth="1"/>
    <x:col min="10" max="10" width="18" hidden="0" customWidth="1"/>
    <x:col min="11" max="11" width="18" hidden="0" customWidth="1"/>
    <x:col min="12" max="12" width="48" hidden="0" customWidth="1"/>
  </x:cols>
  <x:sheetData>
    <x:row r="1" ht="34" customHeight="1">
      <x:c r="A1" s="4" t="str">
        <x:v>采购监管知识图谱关系实例</x:v>
      </x:c>
      <x:c r="B1" s="4"/>
      <x:c r="C1" s="4"/>
      <x:c r="D1" s="4"/>
      <x:c r="E1" s="4"/>
      <x:c r="F1" s="4"/>
      <x:c r="G1" s="4"/>
      <x:c r="H1" s="4"/>
      <x:c r="I1" s="4"/>
      <x:c r="J1" s="4"/>
      <x:c r="K1" s="4"/>
      <x:c r="L1" s="4"/>
    </x:row>
    <x:row r="2" ht="32" customHeight="1">
      <x:c r="A2" s="8" t="str">
        <x:v>关系实例将主体、项目、投标、合同、物流、票据、付款和资金流串联成可解释风险路径。建议审批后新增 graph_relations。</x:v>
      </x:c>
      <x:c r="B2" s="8"/>
      <x:c r="C2" s="8"/>
      <x:c r="D2" s="8"/>
      <x:c r="E2" s="8"/>
      <x:c r="F2" s="8"/>
      <x:c r="G2" s="8"/>
      <x:c r="H2" s="8"/>
      <x:c r="I2" s="8"/>
      <x:c r="J2" s="8"/>
      <x:c r="K2" s="8"/>
      <x:c r="L2" s="8"/>
    </x:row>
    <x:row r="4" ht="32" customHeight="1">
      <x:c r="A4" s="65" t="str">
        <x:v>关系ID</x:v>
      </x:c>
      <x:c r="B4" s="66" t="str">
        <x:v>关系编码</x:v>
      </x:c>
      <x:c r="C4" s="66" t="str">
        <x:v>起点节点ID</x:v>
      </x:c>
      <x:c r="D4" s="66" t="str">
        <x:v>终点节点ID</x:v>
      </x:c>
      <x:c r="E4" s="66" t="str">
        <x:v>案例ID</x:v>
      </x:c>
      <x:c r="F4" s="66" t="str">
        <x:v>来源系统</x:v>
      </x:c>
      <x:c r="G4" s="66" t="str">
        <x:v>来源记录</x:v>
      </x:c>
      <x:c r="H4" s="66" t="str">
        <x:v>证据ID</x:v>
      </x:c>
      <x:c r="I4" s="66" t="str">
        <x:v>置信度</x:v>
      </x:c>
      <x:c r="J4" s="66" t="str">
        <x:v>有效起始</x:v>
      </x:c>
      <x:c r="K4" s="66" t="str">
        <x:v>有效结束</x:v>
      </x:c>
      <x:c r="L4" s="67" t="str">
        <x:v>关系属性JSON</x:v>
      </x:c>
    </x:row>
    <x:row r="5">
      <x:c r="A5" s="30" t="str">
        <x:v>REL-0001</x:v>
      </x:c>
      <x:c r="B5" s="30" t="str">
        <x:v>PROC.hasDepartment</x:v>
      </x:c>
      <x:c r="C5" s="30" t="str">
        <x:v>ORG-GROUP</x:v>
      </x:c>
      <x:c r="D5" s="30" t="str">
        <x:v>ORG-PROC</x:v>
      </x:c>
      <x:c r="E5" s="30" t="str">
        <x:v>COMMON</x:v>
      </x:c>
      <x:c r="F5" s="30" t="str">
        <x:v>MDM</x:v>
      </x:c>
      <x:c r="G5" s="30" t="str">
        <x:v>ORG-GROUP-ORG-PROC</x:v>
      </x:c>
      <x:c r="H5" s="30" t="str"/>
      <x:c r="I5" s="71" t="n">
        <x:v>1</x:v>
      </x:c>
      <x:c r="J5" s="68" t="n">
        <x:v>46023</x:v>
      </x:c>
      <x:c r="K5" s="68"/>
      <x:c r="L5" s="30" t="str">
        <x:v>{}</x:v>
      </x:c>
    </x:row>
    <x:row r="6">
      <x:c r="A6" s="31" t="str">
        <x:v>REL-0002</x:v>
      </x:c>
      <x:c r="B6" s="31" t="str">
        <x:v>PROC.hasDepartment</x:v>
      </x:c>
      <x:c r="C6" s="31" t="str">
        <x:v>ORG-GROUP</x:v>
      </x:c>
      <x:c r="D6" s="31" t="str">
        <x:v>ORG-INFRA</x:v>
      </x:c>
      <x:c r="E6" s="31" t="str">
        <x:v>COMMON</x:v>
      </x:c>
      <x:c r="F6" s="31" t="str">
        <x:v>MDM</x:v>
      </x:c>
      <x:c r="G6" s="31" t="str">
        <x:v>ORG-GROUP-ORG-INFRA</x:v>
      </x:c>
      <x:c r="H6" s="31" t="str"/>
      <x:c r="I6" s="72" t="n">
        <x:v>1</x:v>
      </x:c>
      <x:c r="J6" s="69" t="n">
        <x:v>46023</x:v>
      </x:c>
      <x:c r="K6" s="69"/>
      <x:c r="L6" s="31" t="str">
        <x:v>{}</x:v>
      </x:c>
    </x:row>
    <x:row r="7">
      <x:c r="A7" s="31" t="str">
        <x:v>REL-0003</x:v>
      </x:c>
      <x:c r="B7" s="31" t="str">
        <x:v>PROC.hasDepartment</x:v>
      </x:c>
      <x:c r="C7" s="31" t="str">
        <x:v>ORG-GROUP</x:v>
      </x:c>
      <x:c r="D7" s="31" t="str">
        <x:v>ORG-DATA</x:v>
      </x:c>
      <x:c r="E7" s="31" t="str">
        <x:v>COMMON</x:v>
      </x:c>
      <x:c r="F7" s="31" t="str">
        <x:v>MDM</x:v>
      </x:c>
      <x:c r="G7" s="31" t="str">
        <x:v>ORG-GROUP-ORG-DATA</x:v>
      </x:c>
      <x:c r="H7" s="31" t="str"/>
      <x:c r="I7" s="72" t="n">
        <x:v>1</x:v>
      </x:c>
      <x:c r="J7" s="69" t="n">
        <x:v>46023</x:v>
      </x:c>
      <x:c r="K7" s="69"/>
      <x:c r="L7" s="31" t="str">
        <x:v>{}</x:v>
      </x:c>
    </x:row>
    <x:row r="8">
      <x:c r="A8" s="31" t="str">
        <x:v>REL-0004</x:v>
      </x:c>
      <x:c r="B8" s="31" t="str">
        <x:v>PROC.hasDepartment</x:v>
      </x:c>
      <x:c r="C8" s="31" t="str">
        <x:v>ORG-GROUP</x:v>
      </x:c>
      <x:c r="D8" s="31" t="str">
        <x:v>ORG-SEC</x:v>
      </x:c>
      <x:c r="E8" s="31" t="str">
        <x:v>COMMON</x:v>
      </x:c>
      <x:c r="F8" s="31" t="str">
        <x:v>MDM</x:v>
      </x:c>
      <x:c r="G8" s="31" t="str">
        <x:v>ORG-GROUP-ORG-SEC</x:v>
      </x:c>
      <x:c r="H8" s="31" t="str"/>
      <x:c r="I8" s="72" t="n">
        <x:v>1</x:v>
      </x:c>
      <x:c r="J8" s="69" t="n">
        <x:v>46023</x:v>
      </x:c>
      <x:c r="K8" s="69"/>
      <x:c r="L8" s="31" t="str">
        <x:v>{}</x:v>
      </x:c>
    </x:row>
    <x:row r="9">
      <x:c r="A9" s="31" t="str">
        <x:v>REL-0005</x:v>
      </x:c>
      <x:c r="B9" s="31" t="str">
        <x:v>PROC.hasDepartment</x:v>
      </x:c>
      <x:c r="C9" s="31" t="str">
        <x:v>ORG-GROUP</x:v>
      </x:c>
      <x:c r="D9" s="31" t="str">
        <x:v>ORG-OPS</x:v>
      </x:c>
      <x:c r="E9" s="31" t="str">
        <x:v>COMMON</x:v>
      </x:c>
      <x:c r="F9" s="31" t="str">
        <x:v>MDM</x:v>
      </x:c>
      <x:c r="G9" s="31" t="str">
        <x:v>ORG-GROUP-ORG-OPS</x:v>
      </x:c>
      <x:c r="H9" s="31" t="str"/>
      <x:c r="I9" s="72" t="n">
        <x:v>1</x:v>
      </x:c>
      <x:c r="J9" s="69" t="n">
        <x:v>46023</x:v>
      </x:c>
      <x:c r="K9" s="69"/>
      <x:c r="L9" s="31" t="str">
        <x:v>{}</x:v>
      </x:c>
    </x:row>
    <x:row r="10">
      <x:c r="A10" s="31" t="str">
        <x:v>REL-0006</x:v>
      </x:c>
      <x:c r="B10" s="31" t="str">
        <x:v>PROC.hasDepartment</x:v>
      </x:c>
      <x:c r="C10" s="31" t="str">
        <x:v>ORG-GROUP</x:v>
      </x:c>
      <x:c r="D10" s="31" t="str">
        <x:v>ORG-FIN</x:v>
      </x:c>
      <x:c r="E10" s="31" t="str">
        <x:v>COMMON</x:v>
      </x:c>
      <x:c r="F10" s="31" t="str">
        <x:v>MDM</x:v>
      </x:c>
      <x:c r="G10" s="31" t="str">
        <x:v>ORG-GROUP-ORG-FIN</x:v>
      </x:c>
      <x:c r="H10" s="31" t="str"/>
      <x:c r="I10" s="72" t="n">
        <x:v>1</x:v>
      </x:c>
      <x:c r="J10" s="69" t="n">
        <x:v>46023</x:v>
      </x:c>
      <x:c r="K10" s="69"/>
      <x:c r="L10" s="31" t="str">
        <x:v>{}</x:v>
      </x:c>
    </x:row>
    <x:row r="11">
      <x:c r="A11" s="31" t="str">
        <x:v>REL-0007</x:v>
      </x:c>
      <x:c r="B11" s="31" t="str">
        <x:v>PROC.hasDepartment</x:v>
      </x:c>
      <x:c r="C11" s="31" t="str">
        <x:v>ORG-GROUP</x:v>
      </x:c>
      <x:c r="D11" s="31" t="str">
        <x:v>ORG-WH</x:v>
      </x:c>
      <x:c r="E11" s="31" t="str">
        <x:v>COMMON</x:v>
      </x:c>
      <x:c r="F11" s="31" t="str">
        <x:v>MDM</x:v>
      </x:c>
      <x:c r="G11" s="31" t="str">
        <x:v>ORG-GROUP-ORG-WH</x:v>
      </x:c>
      <x:c r="H11" s="31" t="str"/>
      <x:c r="I11" s="72" t="n">
        <x:v>1</x:v>
      </x:c>
      <x:c r="J11" s="69" t="n">
        <x:v>46023</x:v>
      </x:c>
      <x:c r="K11" s="69"/>
      <x:c r="L11" s="31" t="str">
        <x:v>{}</x:v>
      </x:c>
    </x:row>
    <x:row r="12">
      <x:c r="A12" s="31" t="str">
        <x:v>REL-0008</x:v>
      </x:c>
      <x:c r="B12" s="31" t="str">
        <x:v>PROC.employs</x:v>
      </x:c>
      <x:c r="C12" s="31" t="str">
        <x:v>ORG-PROC</x:v>
      </x:c>
      <x:c r="D12" s="31" t="str">
        <x:v>PER-BUY-001</x:v>
      </x:c>
      <x:c r="E12" s="31" t="str">
        <x:v>COMMON</x:v>
      </x:c>
      <x:c r="F12" s="31" t="str">
        <x:v>MDM</x:v>
      </x:c>
      <x:c r="G12" s="31" t="str">
        <x:v>ORG-PROC-PER-BUY-001</x:v>
      </x:c>
      <x:c r="H12" s="31" t="str"/>
      <x:c r="I12" s="72" t="n">
        <x:v>1</x:v>
      </x:c>
      <x:c r="J12" s="69" t="n">
        <x:v>46023</x:v>
      </x:c>
      <x:c r="K12" s="69"/>
      <x:c r="L12" s="31" t="str">
        <x:v>{}</x:v>
      </x:c>
    </x:row>
    <x:row r="13">
      <x:c r="A13" s="31" t="str">
        <x:v>REL-0009</x:v>
      </x:c>
      <x:c r="B13" s="31" t="str">
        <x:v>PROC.employs</x:v>
      </x:c>
      <x:c r="C13" s="31" t="str">
        <x:v>ORG-FIN</x:v>
      </x:c>
      <x:c r="D13" s="31" t="str">
        <x:v>PER-BUD-001</x:v>
      </x:c>
      <x:c r="E13" s="31" t="str">
        <x:v>COMMON</x:v>
      </x:c>
      <x:c r="F13" s="31" t="str">
        <x:v>MDM</x:v>
      </x:c>
      <x:c r="G13" s="31" t="str">
        <x:v>ORG-FIN-PER-BUD-001</x:v>
      </x:c>
      <x:c r="H13" s="31" t="str"/>
      <x:c r="I13" s="72" t="n">
        <x:v>1</x:v>
      </x:c>
      <x:c r="J13" s="69" t="n">
        <x:v>46023</x:v>
      </x:c>
      <x:c r="K13" s="69"/>
      <x:c r="L13" s="31" t="str">
        <x:v>{}</x:v>
      </x:c>
    </x:row>
    <x:row r="14">
      <x:c r="A14" s="31" t="str">
        <x:v>REL-0010</x:v>
      </x:c>
      <x:c r="B14" s="31" t="str">
        <x:v>PROC.employs</x:v>
      </x:c>
      <x:c r="C14" s="31" t="str">
        <x:v>ORG-SEC</x:v>
      </x:c>
      <x:c r="D14" s="31" t="str">
        <x:v>PER-REV-001</x:v>
      </x:c>
      <x:c r="E14" s="31" t="str">
        <x:v>COMMON</x:v>
      </x:c>
      <x:c r="F14" s="31" t="str">
        <x:v>MDM</x:v>
      </x:c>
      <x:c r="G14" s="31" t="str">
        <x:v>ORG-SEC-PER-REV-001</x:v>
      </x:c>
      <x:c r="H14" s="31" t="str"/>
      <x:c r="I14" s="72" t="n">
        <x:v>1</x:v>
      </x:c>
      <x:c r="J14" s="69" t="n">
        <x:v>46023</x:v>
      </x:c>
      <x:c r="K14" s="69"/>
      <x:c r="L14" s="31" t="str">
        <x:v>{}</x:v>
      </x:c>
    </x:row>
    <x:row r="15">
      <x:c r="A15" s="31" t="str">
        <x:v>REL-0011</x:v>
      </x:c>
      <x:c r="B15" s="31" t="str">
        <x:v>PROC.employs</x:v>
      </x:c>
      <x:c r="C15" s="31" t="str">
        <x:v>ORG-OPS</x:v>
      </x:c>
      <x:c r="D15" s="31" t="str">
        <x:v>PER-REV-002</x:v>
      </x:c>
      <x:c r="E15" s="31" t="str">
        <x:v>COMMON</x:v>
      </x:c>
      <x:c r="F15" s="31" t="str">
        <x:v>MDM</x:v>
      </x:c>
      <x:c r="G15" s="31" t="str">
        <x:v>ORG-OPS-PER-REV-002</x:v>
      </x:c>
      <x:c r="H15" s="31" t="str"/>
      <x:c r="I15" s="72" t="n">
        <x:v>1</x:v>
      </x:c>
      <x:c r="J15" s="69" t="n">
        <x:v>46023</x:v>
      </x:c>
      <x:c r="K15" s="69"/>
      <x:c r="L15" s="31" t="str">
        <x:v>{}</x:v>
      </x:c>
    </x:row>
    <x:row r="16">
      <x:c r="A16" s="31" t="str">
        <x:v>REL-0012</x:v>
      </x:c>
      <x:c r="B16" s="31" t="str">
        <x:v>PROC.employs</x:v>
      </x:c>
      <x:c r="C16" s="31" t="str">
        <x:v>ORG-WH</x:v>
      </x:c>
      <x:c r="D16" s="31" t="str">
        <x:v>PER-WH-001</x:v>
      </x:c>
      <x:c r="E16" s="31" t="str">
        <x:v>COMMON</x:v>
      </x:c>
      <x:c r="F16" s="31" t="str">
        <x:v>MDM</x:v>
      </x:c>
      <x:c r="G16" s="31" t="str">
        <x:v>ORG-WH-PER-WH-001</x:v>
      </x:c>
      <x:c r="H16" s="31" t="str"/>
      <x:c r="I16" s="72" t="n">
        <x:v>1</x:v>
      </x:c>
      <x:c r="J16" s="69" t="n">
        <x:v>46023</x:v>
      </x:c>
      <x:c r="K16" s="69"/>
      <x:c r="L16" s="31" t="str">
        <x:v>{}</x:v>
      </x:c>
    </x:row>
    <x:row r="17">
      <x:c r="A17" s="31" t="str">
        <x:v>REL-0013</x:v>
      </x:c>
      <x:c r="B17" s="31" t="str">
        <x:v>PROC.employs</x:v>
      </x:c>
      <x:c r="C17" s="31" t="str">
        <x:v>ORG-OPS</x:v>
      </x:c>
      <x:c r="D17" s="31" t="str">
        <x:v>PER-PM-001</x:v>
      </x:c>
      <x:c r="E17" s="31" t="str">
        <x:v>COMMON</x:v>
      </x:c>
      <x:c r="F17" s="31" t="str">
        <x:v>MDM</x:v>
      </x:c>
      <x:c r="G17" s="31" t="str">
        <x:v>ORG-OPS-PER-PM-001</x:v>
      </x:c>
      <x:c r="H17" s="31" t="str"/>
      <x:c r="I17" s="72" t="n">
        <x:v>1</x:v>
      </x:c>
      <x:c r="J17" s="69" t="n">
        <x:v>46023</x:v>
      </x:c>
      <x:c r="K17" s="69"/>
      <x:c r="L17" s="31" t="str">
        <x:v>{}</x:v>
      </x:c>
    </x:row>
    <x:row r="18">
      <x:c r="A18" s="31" t="str">
        <x:v>REL-0014</x:v>
      </x:c>
      <x:c r="B18" s="31" t="str">
        <x:v>PROC.employs</x:v>
      </x:c>
      <x:c r="C18" s="31" t="str">
        <x:v>ORG-AFFIL</x:v>
      </x:c>
      <x:c r="D18" s="31" t="str">
        <x:v>PER-AFF-001</x:v>
      </x:c>
      <x:c r="E18" s="31" t="str">
        <x:v>COMMON</x:v>
      </x:c>
      <x:c r="F18" s="31" t="str">
        <x:v>MDM</x:v>
      </x:c>
      <x:c r="G18" s="31" t="str">
        <x:v>ORG-AFFIL-PER-AFF-001</x:v>
      </x:c>
      <x:c r="H18" s="31" t="str"/>
      <x:c r="I18" s="72" t="n">
        <x:v>1</x:v>
      </x:c>
      <x:c r="J18" s="69" t="n">
        <x:v>46023</x:v>
      </x:c>
      <x:c r="K18" s="69"/>
      <x:c r="L18" s="31" t="str">
        <x:v>{}</x:v>
      </x:c>
    </x:row>
    <x:row r="19">
      <x:c r="A19" s="31" t="str">
        <x:v>REL-0015</x:v>
      </x:c>
      <x:c r="B19" s="31" t="str">
        <x:v>PROC.initiatesDemand</x:v>
      </x:c>
      <x:c r="C19" s="31" t="str">
        <x:v>ORG-INFRA</x:v>
      </x:c>
      <x:c r="D19" s="31" t="str">
        <x:v>DMD-001</x:v>
      </x:c>
      <x:c r="E19" s="31" t="str">
        <x:v>CASE-001</x:v>
      </x:c>
      <x:c r="F19" s="31" t="str">
        <x:v>ERP</x:v>
      </x:c>
      <x:c r="G19" s="31" t="str">
        <x:v>DMD-001</x:v>
      </x:c>
      <x:c r="H19" s="31" t="str"/>
      <x:c r="I19" s="72" t="n">
        <x:v>1</x:v>
      </x:c>
      <x:c r="J19" s="69" t="n">
        <x:v>46023</x:v>
      </x:c>
      <x:c r="K19" s="69"/>
      <x:c r="L19" s="31" t="str">
        <x:v>{}</x:v>
      </x:c>
    </x:row>
    <x:row r="20">
      <x:c r="A20" s="31" t="str">
        <x:v>REL-0016</x:v>
      </x:c>
      <x:c r="B20" s="31" t="str">
        <x:v>PROC.demandFormsPlan</x:v>
      </x:c>
      <x:c r="C20" s="31" t="str">
        <x:v>DMD-001</x:v>
      </x:c>
      <x:c r="D20" s="31" t="str">
        <x:v>PLAN-001</x:v>
      </x:c>
      <x:c r="E20" s="31" t="str">
        <x:v>CASE-001</x:v>
      </x:c>
      <x:c r="F20" s="31" t="str">
        <x:v>ERP</x:v>
      </x:c>
      <x:c r="G20" s="31" t="str">
        <x:v>PLAN-001</x:v>
      </x:c>
      <x:c r="H20" s="31" t="str"/>
      <x:c r="I20" s="72" t="n">
        <x:v>1</x:v>
      </x:c>
      <x:c r="J20" s="69" t="n">
        <x:v>46023</x:v>
      </x:c>
      <x:c r="K20" s="69"/>
      <x:c r="L20" s="31" t="str">
        <x:v>{}</x:v>
      </x:c>
    </x:row>
    <x:row r="21">
      <x:c r="A21" s="31" t="str">
        <x:v>REL-0017</x:v>
      </x:c>
      <x:c r="B21" s="31" t="str">
        <x:v>PROC.planCreatesProject</x:v>
      </x:c>
      <x:c r="C21" s="31" t="str">
        <x:v>PLAN-001</x:v>
      </x:c>
      <x:c r="D21" s="31" t="str">
        <x:v>PRJ-001</x:v>
      </x:c>
      <x:c r="E21" s="31" t="str">
        <x:v>CASE-001</x:v>
      </x:c>
      <x:c r="F21" s="31" t="str">
        <x:v>ERP</x:v>
      </x:c>
      <x:c r="G21" s="31" t="str">
        <x:v>PRJ-001</x:v>
      </x:c>
      <x:c r="H21" s="31" t="str"/>
      <x:c r="I21" s="72" t="n">
        <x:v>1</x:v>
      </x:c>
      <x:c r="J21" s="69" t="n">
        <x:v>46023</x:v>
      </x:c>
      <x:c r="K21" s="69"/>
      <x:c r="L21" s="31" t="str">
        <x:v>{}</x:v>
      </x:c>
    </x:row>
    <x:row r="22">
      <x:c r="A22" s="31" t="str">
        <x:v>REL-0018</x:v>
      </x:c>
      <x:c r="B22" s="31" t="str">
        <x:v>PROC.projectApprovedByBudget</x:v>
      </x:c>
      <x:c r="C22" s="31" t="str">
        <x:v>PRJ-001</x:v>
      </x:c>
      <x:c r="D22" s="31" t="str">
        <x:v>BUD-001</x:v>
      </x:c>
      <x:c r="E22" s="31" t="str">
        <x:v>CASE-001</x:v>
      </x:c>
      <x:c r="F22" s="31" t="str">
        <x:v>OA</x:v>
      </x:c>
      <x:c r="G22" s="31" t="str">
        <x:v>BUD-001</x:v>
      </x:c>
      <x:c r="H22" s="31" t="str"/>
      <x:c r="I22" s="72" t="n">
        <x:v>1</x:v>
      </x:c>
      <x:c r="J22" s="69" t="n">
        <x:v>46023</x:v>
      </x:c>
      <x:c r="K22" s="69"/>
      <x:c r="L22" s="31" t="str">
        <x:v>{}</x:v>
      </x:c>
    </x:row>
    <x:row r="23">
      <x:c r="A23" s="31" t="str">
        <x:v>REL-0019</x:v>
      </x:c>
      <x:c r="B23" s="31" t="str">
        <x:v>PROC.initiatesDemand</x:v>
      </x:c>
      <x:c r="C23" s="31" t="str">
        <x:v>ORG-DATA</x:v>
      </x:c>
      <x:c r="D23" s="31" t="str">
        <x:v>DMD-003</x:v>
      </x:c>
      <x:c r="E23" s="31" t="str">
        <x:v>CASE-003</x:v>
      </x:c>
      <x:c r="F23" s="31" t="str">
        <x:v>ERP</x:v>
      </x:c>
      <x:c r="G23" s="31" t="str">
        <x:v>DMD-003</x:v>
      </x:c>
      <x:c r="H23" s="31" t="str"/>
      <x:c r="I23" s="72" t="n">
        <x:v>1</x:v>
      </x:c>
      <x:c r="J23" s="69" t="n">
        <x:v>46023</x:v>
      </x:c>
      <x:c r="K23" s="69"/>
      <x:c r="L23" s="31" t="str">
        <x:v>{}</x:v>
      </x:c>
    </x:row>
    <x:row r="24">
      <x:c r="A24" s="31" t="str">
        <x:v>REL-0020</x:v>
      </x:c>
      <x:c r="B24" s="31" t="str">
        <x:v>PROC.demandFormsPlan</x:v>
      </x:c>
      <x:c r="C24" s="31" t="str">
        <x:v>DMD-003</x:v>
      </x:c>
      <x:c r="D24" s="31" t="str">
        <x:v>PLAN-003</x:v>
      </x:c>
      <x:c r="E24" s="31" t="str">
        <x:v>CASE-003</x:v>
      </x:c>
      <x:c r="F24" s="31" t="str">
        <x:v>ERP</x:v>
      </x:c>
      <x:c r="G24" s="31" t="str">
        <x:v>PLAN-003</x:v>
      </x:c>
      <x:c r="H24" s="31" t="str"/>
      <x:c r="I24" s="72" t="n">
        <x:v>1</x:v>
      </x:c>
      <x:c r="J24" s="69" t="n">
        <x:v>46023</x:v>
      </x:c>
      <x:c r="K24" s="69"/>
      <x:c r="L24" s="31" t="str">
        <x:v>{}</x:v>
      </x:c>
    </x:row>
    <x:row r="25">
      <x:c r="A25" s="31" t="str">
        <x:v>REL-0021</x:v>
      </x:c>
      <x:c r="B25" s="31" t="str">
        <x:v>PROC.planCreatesProject</x:v>
      </x:c>
      <x:c r="C25" s="31" t="str">
        <x:v>PLAN-003</x:v>
      </x:c>
      <x:c r="D25" s="31" t="str">
        <x:v>PRJ-003</x:v>
      </x:c>
      <x:c r="E25" s="31" t="str">
        <x:v>CASE-003</x:v>
      </x:c>
      <x:c r="F25" s="31" t="str">
        <x:v>ERP</x:v>
      </x:c>
      <x:c r="G25" s="31" t="str">
        <x:v>PRJ-003</x:v>
      </x:c>
      <x:c r="H25" s="31" t="str"/>
      <x:c r="I25" s="72" t="n">
        <x:v>1</x:v>
      </x:c>
      <x:c r="J25" s="69" t="n">
        <x:v>46023</x:v>
      </x:c>
      <x:c r="K25" s="69"/>
      <x:c r="L25" s="31" t="str">
        <x:v>{}</x:v>
      </x:c>
    </x:row>
    <x:row r="26">
      <x:c r="A26" s="31" t="str">
        <x:v>REL-0022</x:v>
      </x:c>
      <x:c r="B26" s="31" t="str">
        <x:v>PROC.projectApprovedByBudget</x:v>
      </x:c>
      <x:c r="C26" s="31" t="str">
        <x:v>PRJ-003</x:v>
      </x:c>
      <x:c r="D26" s="31" t="str">
        <x:v>BUD-003</x:v>
      </x:c>
      <x:c r="E26" s="31" t="str">
        <x:v>CASE-003</x:v>
      </x:c>
      <x:c r="F26" s="31" t="str">
        <x:v>OA</x:v>
      </x:c>
      <x:c r="G26" s="31" t="str">
        <x:v>BUD-003</x:v>
      </x:c>
      <x:c r="H26" s="31" t="str"/>
      <x:c r="I26" s="72" t="n">
        <x:v>1</x:v>
      </x:c>
      <x:c r="J26" s="69" t="n">
        <x:v>46023</x:v>
      </x:c>
      <x:c r="K26" s="69"/>
      <x:c r="L26" s="31" t="str">
        <x:v>{}</x:v>
      </x:c>
    </x:row>
    <x:row r="27">
      <x:c r="A27" s="31" t="str">
        <x:v>REL-0023</x:v>
      </x:c>
      <x:c r="B27" s="31" t="str">
        <x:v>PROC.initiatesDemand</x:v>
      </x:c>
      <x:c r="C27" s="31" t="str">
        <x:v>ORG-SEC</x:v>
      </x:c>
      <x:c r="D27" s="31" t="str">
        <x:v>DMD-004</x:v>
      </x:c>
      <x:c r="E27" s="31" t="str">
        <x:v>CASE-004</x:v>
      </x:c>
      <x:c r="F27" s="31" t="str">
        <x:v>ERP</x:v>
      </x:c>
      <x:c r="G27" s="31" t="str">
        <x:v>DMD-004</x:v>
      </x:c>
      <x:c r="H27" s="31" t="str"/>
      <x:c r="I27" s="72" t="n">
        <x:v>1</x:v>
      </x:c>
      <x:c r="J27" s="69" t="n">
        <x:v>46023</x:v>
      </x:c>
      <x:c r="K27" s="69"/>
      <x:c r="L27" s="31" t="str">
        <x:v>{}</x:v>
      </x:c>
    </x:row>
    <x:row r="28">
      <x:c r="A28" s="31" t="str">
        <x:v>REL-0024</x:v>
      </x:c>
      <x:c r="B28" s="31" t="str">
        <x:v>PROC.demandFormsPlan</x:v>
      </x:c>
      <x:c r="C28" s="31" t="str">
        <x:v>DMD-004</x:v>
      </x:c>
      <x:c r="D28" s="31" t="str">
        <x:v>PLAN-004</x:v>
      </x:c>
      <x:c r="E28" s="31" t="str">
        <x:v>CASE-004</x:v>
      </x:c>
      <x:c r="F28" s="31" t="str">
        <x:v>ERP</x:v>
      </x:c>
      <x:c r="G28" s="31" t="str">
        <x:v>PLAN-004</x:v>
      </x:c>
      <x:c r="H28" s="31" t="str"/>
      <x:c r="I28" s="72" t="n">
        <x:v>1</x:v>
      </x:c>
      <x:c r="J28" s="69" t="n">
        <x:v>46023</x:v>
      </x:c>
      <x:c r="K28" s="69"/>
      <x:c r="L28" s="31" t="str">
        <x:v>{}</x:v>
      </x:c>
    </x:row>
    <x:row r="29">
      <x:c r="A29" s="31" t="str">
        <x:v>REL-0025</x:v>
      </x:c>
      <x:c r="B29" s="31" t="str">
        <x:v>PROC.planCreatesProject</x:v>
      </x:c>
      <x:c r="C29" s="31" t="str">
        <x:v>PLAN-004</x:v>
      </x:c>
      <x:c r="D29" s="31" t="str">
        <x:v>PRJ-004</x:v>
      </x:c>
      <x:c r="E29" s="31" t="str">
        <x:v>CASE-004</x:v>
      </x:c>
      <x:c r="F29" s="31" t="str">
        <x:v>ERP</x:v>
      </x:c>
      <x:c r="G29" s="31" t="str">
        <x:v>PRJ-004</x:v>
      </x:c>
      <x:c r="H29" s="31" t="str"/>
      <x:c r="I29" s="72" t="n">
        <x:v>1</x:v>
      </x:c>
      <x:c r="J29" s="69" t="n">
        <x:v>46023</x:v>
      </x:c>
      <x:c r="K29" s="69"/>
      <x:c r="L29" s="31" t="str">
        <x:v>{}</x:v>
      </x:c>
    </x:row>
    <x:row r="30">
      <x:c r="A30" s="31" t="str">
        <x:v>REL-0026</x:v>
      </x:c>
      <x:c r="B30" s="31" t="str">
        <x:v>PROC.projectApprovedByBudget</x:v>
      </x:c>
      <x:c r="C30" s="31" t="str">
        <x:v>PRJ-004</x:v>
      </x:c>
      <x:c r="D30" s="31" t="str">
        <x:v>BUD-004</x:v>
      </x:c>
      <x:c r="E30" s="31" t="str">
        <x:v>CASE-004</x:v>
      </x:c>
      <x:c r="F30" s="31" t="str">
        <x:v>OA</x:v>
      </x:c>
      <x:c r="G30" s="31" t="str">
        <x:v>BUD-004</x:v>
      </x:c>
      <x:c r="H30" s="31" t="str"/>
      <x:c r="I30" s="72" t="n">
        <x:v>1</x:v>
      </x:c>
      <x:c r="J30" s="69" t="n">
        <x:v>46023</x:v>
      </x:c>
      <x:c r="K30" s="69"/>
      <x:c r="L30" s="31" t="str">
        <x:v>{}</x:v>
      </x:c>
    </x:row>
    <x:row r="31">
      <x:c r="A31" s="31" t="str">
        <x:v>REL-0027</x:v>
      </x:c>
      <x:c r="B31" s="31" t="str">
        <x:v>PROC.initiatesDemand</x:v>
      </x:c>
      <x:c r="C31" s="31" t="str">
        <x:v>ORG-OPS</x:v>
      </x:c>
      <x:c r="D31" s="31" t="str">
        <x:v>DMD-005</x:v>
      </x:c>
      <x:c r="E31" s="31" t="str">
        <x:v>CASE-005</x:v>
      </x:c>
      <x:c r="F31" s="31" t="str">
        <x:v>ERP</x:v>
      </x:c>
      <x:c r="G31" s="31" t="str">
        <x:v>DMD-005</x:v>
      </x:c>
      <x:c r="H31" s="31" t="str"/>
      <x:c r="I31" s="72" t="n">
        <x:v>1</x:v>
      </x:c>
      <x:c r="J31" s="69" t="n">
        <x:v>46023</x:v>
      </x:c>
      <x:c r="K31" s="69"/>
      <x:c r="L31" s="31" t="str">
        <x:v>{}</x:v>
      </x:c>
    </x:row>
    <x:row r="32">
      <x:c r="A32" s="31" t="str">
        <x:v>REL-0028</x:v>
      </x:c>
      <x:c r="B32" s="31" t="str">
        <x:v>PROC.demandFormsPlan</x:v>
      </x:c>
      <x:c r="C32" s="31" t="str">
        <x:v>DMD-005</x:v>
      </x:c>
      <x:c r="D32" s="31" t="str">
        <x:v>PLAN-005</x:v>
      </x:c>
      <x:c r="E32" s="31" t="str">
        <x:v>CASE-005</x:v>
      </x:c>
      <x:c r="F32" s="31" t="str">
        <x:v>ERP</x:v>
      </x:c>
      <x:c r="G32" s="31" t="str">
        <x:v>PLAN-005</x:v>
      </x:c>
      <x:c r="H32" s="31" t="str"/>
      <x:c r="I32" s="72" t="n">
        <x:v>1</x:v>
      </x:c>
      <x:c r="J32" s="69" t="n">
        <x:v>46023</x:v>
      </x:c>
      <x:c r="K32" s="69"/>
      <x:c r="L32" s="31" t="str">
        <x:v>{}</x:v>
      </x:c>
    </x:row>
    <x:row r="33">
      <x:c r="A33" s="31" t="str">
        <x:v>REL-0029</x:v>
      </x:c>
      <x:c r="B33" s="31" t="str">
        <x:v>PROC.planCreatesProject</x:v>
      </x:c>
      <x:c r="C33" s="31" t="str">
        <x:v>PLAN-005</x:v>
      </x:c>
      <x:c r="D33" s="31" t="str">
        <x:v>PRJ-005</x:v>
      </x:c>
      <x:c r="E33" s="31" t="str">
        <x:v>CASE-005</x:v>
      </x:c>
      <x:c r="F33" s="31" t="str">
        <x:v>ERP</x:v>
      </x:c>
      <x:c r="G33" s="31" t="str">
        <x:v>PRJ-005</x:v>
      </x:c>
      <x:c r="H33" s="31" t="str"/>
      <x:c r="I33" s="72" t="n">
        <x:v>1</x:v>
      </x:c>
      <x:c r="J33" s="69" t="n">
        <x:v>46023</x:v>
      </x:c>
      <x:c r="K33" s="69"/>
      <x:c r="L33" s="31" t="str">
        <x:v>{}</x:v>
      </x:c>
    </x:row>
    <x:row r="34">
      <x:c r="A34" s="31" t="str">
        <x:v>REL-0030</x:v>
      </x:c>
      <x:c r="B34" s="31" t="str">
        <x:v>PROC.projectApprovedByBudget</x:v>
      </x:c>
      <x:c r="C34" s="31" t="str">
        <x:v>PRJ-005</x:v>
      </x:c>
      <x:c r="D34" s="31" t="str">
        <x:v>BUD-005</x:v>
      </x:c>
      <x:c r="E34" s="31" t="str">
        <x:v>CASE-005</x:v>
      </x:c>
      <x:c r="F34" s="31" t="str">
        <x:v>OA</x:v>
      </x:c>
      <x:c r="G34" s="31" t="str">
        <x:v>BUD-005</x:v>
      </x:c>
      <x:c r="H34" s="31" t="str"/>
      <x:c r="I34" s="72" t="n">
        <x:v>1</x:v>
      </x:c>
      <x:c r="J34" s="69" t="n">
        <x:v>46023</x:v>
      </x:c>
      <x:c r="K34" s="69"/>
      <x:c r="L34" s="31" t="str">
        <x:v>{}</x:v>
      </x:c>
    </x:row>
    <x:row r="35">
      <x:c r="A35" s="31" t="str">
        <x:v>REL-0031</x:v>
      </x:c>
      <x:c r="B35" s="31" t="str">
        <x:v>PROC.initiatesDemand</x:v>
      </x:c>
      <x:c r="C35" s="31" t="str">
        <x:v>ORG-INFRA</x:v>
      </x:c>
      <x:c r="D35" s="31" t="str">
        <x:v>DMD-006</x:v>
      </x:c>
      <x:c r="E35" s="31" t="str">
        <x:v>CASE-006</x:v>
      </x:c>
      <x:c r="F35" s="31" t="str">
        <x:v>ERP</x:v>
      </x:c>
      <x:c r="G35" s="31" t="str">
        <x:v>DMD-006</x:v>
      </x:c>
      <x:c r="H35" s="31" t="str"/>
      <x:c r="I35" s="72" t="n">
        <x:v>1</x:v>
      </x:c>
      <x:c r="J35" s="69" t="n">
        <x:v>46023</x:v>
      </x:c>
      <x:c r="K35" s="69"/>
      <x:c r="L35" s="31" t="str">
        <x:v>{}</x:v>
      </x:c>
    </x:row>
    <x:row r="36">
      <x:c r="A36" s="31" t="str">
        <x:v>REL-0032</x:v>
      </x:c>
      <x:c r="B36" s="31" t="str">
        <x:v>PROC.demandFormsPlan</x:v>
      </x:c>
      <x:c r="C36" s="31" t="str">
        <x:v>DMD-006</x:v>
      </x:c>
      <x:c r="D36" s="31" t="str">
        <x:v>PLAN-006</x:v>
      </x:c>
      <x:c r="E36" s="31" t="str">
        <x:v>CASE-006</x:v>
      </x:c>
      <x:c r="F36" s="31" t="str">
        <x:v>ERP</x:v>
      </x:c>
      <x:c r="G36" s="31" t="str">
        <x:v>PLAN-006</x:v>
      </x:c>
      <x:c r="H36" s="31" t="str"/>
      <x:c r="I36" s="72" t="n">
        <x:v>1</x:v>
      </x:c>
      <x:c r="J36" s="69" t="n">
        <x:v>46023</x:v>
      </x:c>
      <x:c r="K36" s="69"/>
      <x:c r="L36" s="31" t="str">
        <x:v>{}</x:v>
      </x:c>
    </x:row>
    <x:row r="37">
      <x:c r="A37" s="31" t="str">
        <x:v>REL-0033</x:v>
      </x:c>
      <x:c r="B37" s="31" t="str">
        <x:v>PROC.planCreatesProject</x:v>
      </x:c>
      <x:c r="C37" s="31" t="str">
        <x:v>PLAN-006</x:v>
      </x:c>
      <x:c r="D37" s="31" t="str">
        <x:v>PRJ-006</x:v>
      </x:c>
      <x:c r="E37" s="31" t="str">
        <x:v>CASE-006</x:v>
      </x:c>
      <x:c r="F37" s="31" t="str">
        <x:v>ERP</x:v>
      </x:c>
      <x:c r="G37" s="31" t="str">
        <x:v>PRJ-006</x:v>
      </x:c>
      <x:c r="H37" s="31" t="str"/>
      <x:c r="I37" s="72" t="n">
        <x:v>1</x:v>
      </x:c>
      <x:c r="J37" s="69" t="n">
        <x:v>46023</x:v>
      </x:c>
      <x:c r="K37" s="69"/>
      <x:c r="L37" s="31" t="str">
        <x:v>{}</x:v>
      </x:c>
    </x:row>
    <x:row r="38">
      <x:c r="A38" s="31" t="str">
        <x:v>REL-0034</x:v>
      </x:c>
      <x:c r="B38" s="31" t="str">
        <x:v>PROC.projectApprovedByBudget</x:v>
      </x:c>
      <x:c r="C38" s="31" t="str">
        <x:v>PRJ-006</x:v>
      </x:c>
      <x:c r="D38" s="31" t="str">
        <x:v>BUD-006</x:v>
      </x:c>
      <x:c r="E38" s="31" t="str">
        <x:v>CASE-006</x:v>
      </x:c>
      <x:c r="F38" s="31" t="str">
        <x:v>OA</x:v>
      </x:c>
      <x:c r="G38" s="31" t="str">
        <x:v>BUD-006</x:v>
      </x:c>
      <x:c r="H38" s="31" t="str"/>
      <x:c r="I38" s="72" t="n">
        <x:v>1</x:v>
      </x:c>
      <x:c r="J38" s="69" t="n">
        <x:v>46023</x:v>
      </x:c>
      <x:c r="K38" s="69"/>
      <x:c r="L38" s="31" t="str">
        <x:v>{}</x:v>
      </x:c>
    </x:row>
    <x:row r="39">
      <x:c r="A39" s="31" t="str">
        <x:v>REL-0035</x:v>
      </x:c>
      <x:c r="B39" s="31" t="str">
        <x:v>PROC.initiatesDemand</x:v>
      </x:c>
      <x:c r="C39" s="31" t="str">
        <x:v>ORG-SEC</x:v>
      </x:c>
      <x:c r="D39" s="31" t="str">
        <x:v>DMD-007</x:v>
      </x:c>
      <x:c r="E39" s="31" t="str">
        <x:v>CASE-007</x:v>
      </x:c>
      <x:c r="F39" s="31" t="str">
        <x:v>ERP</x:v>
      </x:c>
      <x:c r="G39" s="31" t="str">
        <x:v>DMD-007</x:v>
      </x:c>
      <x:c r="H39" s="31" t="str"/>
      <x:c r="I39" s="72" t="n">
        <x:v>1</x:v>
      </x:c>
      <x:c r="J39" s="69" t="n">
        <x:v>46023</x:v>
      </x:c>
      <x:c r="K39" s="69"/>
      <x:c r="L39" s="31" t="str">
        <x:v>{}</x:v>
      </x:c>
    </x:row>
    <x:row r="40">
      <x:c r="A40" s="31" t="str">
        <x:v>REL-0036</x:v>
      </x:c>
      <x:c r="B40" s="31" t="str">
        <x:v>PROC.demandFormsPlan</x:v>
      </x:c>
      <x:c r="C40" s="31" t="str">
        <x:v>DMD-007</x:v>
      </x:c>
      <x:c r="D40" s="31" t="str">
        <x:v>PLAN-007</x:v>
      </x:c>
      <x:c r="E40" s="31" t="str">
        <x:v>CASE-007</x:v>
      </x:c>
      <x:c r="F40" s="31" t="str">
        <x:v>ERP</x:v>
      </x:c>
      <x:c r="G40" s="31" t="str">
        <x:v>PLAN-007</x:v>
      </x:c>
      <x:c r="H40" s="31" t="str"/>
      <x:c r="I40" s="72" t="n">
        <x:v>1</x:v>
      </x:c>
      <x:c r="J40" s="69" t="n">
        <x:v>46023</x:v>
      </x:c>
      <x:c r="K40" s="69"/>
      <x:c r="L40" s="31" t="str">
        <x:v>{}</x:v>
      </x:c>
    </x:row>
    <x:row r="41">
      <x:c r="A41" s="31" t="str">
        <x:v>REL-0037</x:v>
      </x:c>
      <x:c r="B41" s="31" t="str">
        <x:v>PROC.planCreatesProject</x:v>
      </x:c>
      <x:c r="C41" s="31" t="str">
        <x:v>PLAN-007</x:v>
      </x:c>
      <x:c r="D41" s="31" t="str">
        <x:v>PRJ-007</x:v>
      </x:c>
      <x:c r="E41" s="31" t="str">
        <x:v>CASE-007</x:v>
      </x:c>
      <x:c r="F41" s="31" t="str">
        <x:v>ERP</x:v>
      </x:c>
      <x:c r="G41" s="31" t="str">
        <x:v>PRJ-007</x:v>
      </x:c>
      <x:c r="H41" s="31" t="str"/>
      <x:c r="I41" s="72" t="n">
        <x:v>1</x:v>
      </x:c>
      <x:c r="J41" s="69" t="n">
        <x:v>46023</x:v>
      </x:c>
      <x:c r="K41" s="69"/>
      <x:c r="L41" s="31" t="str">
        <x:v>{}</x:v>
      </x:c>
    </x:row>
    <x:row r="42">
      <x:c r="A42" s="31" t="str">
        <x:v>REL-0038</x:v>
      </x:c>
      <x:c r="B42" s="31" t="str">
        <x:v>PROC.projectApprovedByBudget</x:v>
      </x:c>
      <x:c r="C42" s="31" t="str">
        <x:v>PRJ-007</x:v>
      </x:c>
      <x:c r="D42" s="31" t="str">
        <x:v>BUD-007</x:v>
      </x:c>
      <x:c r="E42" s="31" t="str">
        <x:v>CASE-007</x:v>
      </x:c>
      <x:c r="F42" s="31" t="str">
        <x:v>OA</x:v>
      </x:c>
      <x:c r="G42" s="31" t="str">
        <x:v>BUD-007</x:v>
      </x:c>
      <x:c r="H42" s="31" t="str"/>
      <x:c r="I42" s="72" t="n">
        <x:v>1</x:v>
      </x:c>
      <x:c r="J42" s="69" t="n">
        <x:v>46023</x:v>
      </x:c>
      <x:c r="K42" s="69"/>
      <x:c r="L42" s="31" t="str">
        <x:v>{}</x:v>
      </x:c>
    </x:row>
    <x:row r="43">
      <x:c r="A43" s="31" t="str">
        <x:v>REL-0039</x:v>
      </x:c>
      <x:c r="B43" s="31" t="str">
        <x:v>PROC.initiatesDemand</x:v>
      </x:c>
      <x:c r="C43" s="31" t="str">
        <x:v>ORG-INFRA</x:v>
      </x:c>
      <x:c r="D43" s="31" t="str">
        <x:v>DMD-008</x:v>
      </x:c>
      <x:c r="E43" s="31" t="str">
        <x:v>CASE-008</x:v>
      </x:c>
      <x:c r="F43" s="31" t="str">
        <x:v>ERP</x:v>
      </x:c>
      <x:c r="G43" s="31" t="str">
        <x:v>DMD-008</x:v>
      </x:c>
      <x:c r="H43" s="31" t="str"/>
      <x:c r="I43" s="72" t="n">
        <x:v>1</x:v>
      </x:c>
      <x:c r="J43" s="69" t="n">
        <x:v>46023</x:v>
      </x:c>
      <x:c r="K43" s="69"/>
      <x:c r="L43" s="31" t="str">
        <x:v>{}</x:v>
      </x:c>
    </x:row>
    <x:row r="44">
      <x:c r="A44" s="31" t="str">
        <x:v>REL-0040</x:v>
      </x:c>
      <x:c r="B44" s="31" t="str">
        <x:v>PROC.demandFormsPlan</x:v>
      </x:c>
      <x:c r="C44" s="31" t="str">
        <x:v>DMD-008</x:v>
      </x:c>
      <x:c r="D44" s="31" t="str">
        <x:v>PLAN-008</x:v>
      </x:c>
      <x:c r="E44" s="31" t="str">
        <x:v>CASE-008</x:v>
      </x:c>
      <x:c r="F44" s="31" t="str">
        <x:v>ERP</x:v>
      </x:c>
      <x:c r="G44" s="31" t="str">
        <x:v>PLAN-008</x:v>
      </x:c>
      <x:c r="H44" s="31" t="str"/>
      <x:c r="I44" s="72" t="n">
        <x:v>1</x:v>
      </x:c>
      <x:c r="J44" s="69" t="n">
        <x:v>46023</x:v>
      </x:c>
      <x:c r="K44" s="69"/>
      <x:c r="L44" s="31" t="str">
        <x:v>{}</x:v>
      </x:c>
    </x:row>
    <x:row r="45">
      <x:c r="A45" s="31" t="str">
        <x:v>REL-0041</x:v>
      </x:c>
      <x:c r="B45" s="31" t="str">
        <x:v>PROC.planCreatesProject</x:v>
      </x:c>
      <x:c r="C45" s="31" t="str">
        <x:v>PLAN-008</x:v>
      </x:c>
      <x:c r="D45" s="31" t="str">
        <x:v>PRJ-008</x:v>
      </x:c>
      <x:c r="E45" s="31" t="str">
        <x:v>CASE-008</x:v>
      </x:c>
      <x:c r="F45" s="31" t="str">
        <x:v>ERP</x:v>
      </x:c>
      <x:c r="G45" s="31" t="str">
        <x:v>PRJ-008</x:v>
      </x:c>
      <x:c r="H45" s="31" t="str"/>
      <x:c r="I45" s="72" t="n">
        <x:v>1</x:v>
      </x:c>
      <x:c r="J45" s="69" t="n">
        <x:v>46023</x:v>
      </x:c>
      <x:c r="K45" s="69"/>
      <x:c r="L45" s="31" t="str">
        <x:v>{}</x:v>
      </x:c>
    </x:row>
    <x:row r="46">
      <x:c r="A46" s="31" t="str">
        <x:v>REL-0042</x:v>
      </x:c>
      <x:c r="B46" s="31" t="str">
        <x:v>PROC.projectApprovedByBudget</x:v>
      </x:c>
      <x:c r="C46" s="31" t="str">
        <x:v>PRJ-008</x:v>
      </x:c>
      <x:c r="D46" s="31" t="str">
        <x:v>BUD-008</x:v>
      </x:c>
      <x:c r="E46" s="31" t="str">
        <x:v>CASE-008</x:v>
      </x:c>
      <x:c r="F46" s="31" t="str">
        <x:v>OA</x:v>
      </x:c>
      <x:c r="G46" s="31" t="str">
        <x:v>BUD-008</x:v>
      </x:c>
      <x:c r="H46" s="31" t="str"/>
      <x:c r="I46" s="72" t="n">
        <x:v>1</x:v>
      </x:c>
      <x:c r="J46" s="69" t="n">
        <x:v>46023</x:v>
      </x:c>
      <x:c r="K46" s="69"/>
      <x:c r="L46" s="31" t="str">
        <x:v>{}</x:v>
      </x:c>
    </x:row>
    <x:row r="47">
      <x:c r="A47" s="31" t="str">
        <x:v>REL-0043</x:v>
      </x:c>
      <x:c r="B47" s="31" t="str">
        <x:v>PROC.initiatesDemand</x:v>
      </x:c>
      <x:c r="C47" s="31" t="str">
        <x:v>ORG-PROC</x:v>
      </x:c>
      <x:c r="D47" s="31" t="str">
        <x:v>DMD-002</x:v>
      </x:c>
      <x:c r="E47" s="31" t="str">
        <x:v>CASE-002</x:v>
      </x:c>
      <x:c r="F47" s="31" t="str">
        <x:v>ERP</x:v>
      </x:c>
      <x:c r="G47" s="31" t="str">
        <x:v>DMD-002</x:v>
      </x:c>
      <x:c r="H47" s="31" t="str"/>
      <x:c r="I47" s="72" t="n">
        <x:v>1</x:v>
      </x:c>
      <x:c r="J47" s="69" t="n">
        <x:v>46023</x:v>
      </x:c>
      <x:c r="K47" s="69"/>
      <x:c r="L47" s="31" t="str">
        <x:v>{}</x:v>
      </x:c>
    </x:row>
    <x:row r="48">
      <x:c r="A48" s="31" t="str">
        <x:v>REL-0044</x:v>
      </x:c>
      <x:c r="B48" s="31" t="str">
        <x:v>PROC.demandFormsPlan</x:v>
      </x:c>
      <x:c r="C48" s="31" t="str">
        <x:v>DMD-002</x:v>
      </x:c>
      <x:c r="D48" s="31" t="str">
        <x:v>PLAN-002A</x:v>
      </x:c>
      <x:c r="E48" s="31" t="str">
        <x:v>CASE-002</x:v>
      </x:c>
      <x:c r="F48" s="31" t="str">
        <x:v>ERP</x:v>
      </x:c>
      <x:c r="G48" s="31" t="str">
        <x:v>PLAN-002A</x:v>
      </x:c>
      <x:c r="H48" s="31" t="str">
        <x:v>EVI-002-01</x:v>
      </x:c>
      <x:c r="I48" s="72" t="n">
        <x:v>1</x:v>
      </x:c>
      <x:c r="J48" s="69" t="n">
        <x:v>46023</x:v>
      </x:c>
      <x:c r="K48" s="69"/>
      <x:c r="L48" s="31" t="str">
        <x:v>{}</x:v>
      </x:c>
    </x:row>
    <x:row r="49">
      <x:c r="A49" s="31" t="str">
        <x:v>REL-0045</x:v>
      </x:c>
      <x:c r="B49" s="31" t="str">
        <x:v>PROC.planCreatesProject</x:v>
      </x:c>
      <x:c r="C49" s="31" t="str">
        <x:v>PLAN-002A</x:v>
      </x:c>
      <x:c r="D49" s="31" t="str">
        <x:v>PRJ-002A</x:v>
      </x:c>
      <x:c r="E49" s="31" t="str">
        <x:v>CASE-002</x:v>
      </x:c>
      <x:c r="F49" s="31" t="str">
        <x:v>ERP</x:v>
      </x:c>
      <x:c r="G49" s="31" t="str">
        <x:v>PRJ-002A</x:v>
      </x:c>
      <x:c r="H49" s="31" t="str">
        <x:v>EVI-002-02</x:v>
      </x:c>
      <x:c r="I49" s="72" t="n">
        <x:v>1</x:v>
      </x:c>
      <x:c r="J49" s="69" t="n">
        <x:v>46023</x:v>
      </x:c>
      <x:c r="K49" s="69"/>
      <x:c r="L49" s="31" t="str">
        <x:v>{}</x:v>
      </x:c>
    </x:row>
    <x:row r="50">
      <x:c r="A50" s="31" t="str">
        <x:v>REL-0046</x:v>
      </x:c>
      <x:c r="B50" s="31" t="str">
        <x:v>PROC.splitFromDemand</x:v>
      </x:c>
      <x:c r="C50" s="31" t="str">
        <x:v>PRJ-002A</x:v>
      </x:c>
      <x:c r="D50" s="31" t="str">
        <x:v>DMD-002</x:v>
      </x:c>
      <x:c r="E50" s="31" t="str">
        <x:v>CASE-002</x:v>
      </x:c>
      <x:c r="F50" s="31" t="str">
        <x:v>ERP</x:v>
      </x:c>
      <x:c r="G50" s="31" t="str">
        <x:v>DMD-002</x:v>
      </x:c>
      <x:c r="H50" s="31" t="str">
        <x:v>EVI-002-03</x:v>
      </x:c>
      <x:c r="I50" s="72" t="n">
        <x:v>0.99</x:v>
      </x:c>
      <x:c r="J50" s="69" t="n">
        <x:v>46023</x:v>
      </x:c>
      <x:c r="K50" s="69"/>
      <x:c r="L50" s="31" t="str">
        <x:v>{}</x:v>
      </x:c>
    </x:row>
    <x:row r="51">
      <x:c r="A51" s="31" t="str">
        <x:v>REL-0047</x:v>
      </x:c>
      <x:c r="B51" s="31" t="str">
        <x:v>PROC.projectApprovedByBudget</x:v>
      </x:c>
      <x:c r="C51" s="31" t="str">
        <x:v>PRJ-002A</x:v>
      </x:c>
      <x:c r="D51" s="31" t="str">
        <x:v>BUD-002</x:v>
      </x:c>
      <x:c r="E51" s="31" t="str">
        <x:v>CASE-002</x:v>
      </x:c>
      <x:c r="F51" s="31" t="str">
        <x:v>OA</x:v>
      </x:c>
      <x:c r="G51" s="31" t="str">
        <x:v>BUD-002</x:v>
      </x:c>
      <x:c r="H51" s="31" t="str"/>
      <x:c r="I51" s="72" t="n">
        <x:v>1</x:v>
      </x:c>
      <x:c r="J51" s="69" t="n">
        <x:v>46023</x:v>
      </x:c>
      <x:c r="K51" s="69"/>
      <x:c r="L51" s="31" t="str">
        <x:v>{}</x:v>
      </x:c>
    </x:row>
    <x:row r="52">
      <x:c r="A52" s="31" t="str">
        <x:v>REL-0048</x:v>
      </x:c>
      <x:c r="B52" s="31" t="str">
        <x:v>PROC.demandFormsPlan</x:v>
      </x:c>
      <x:c r="C52" s="31" t="str">
        <x:v>DMD-002</x:v>
      </x:c>
      <x:c r="D52" s="31" t="str">
        <x:v>PLAN-002B</x:v>
      </x:c>
      <x:c r="E52" s="31" t="str">
        <x:v>CASE-002</x:v>
      </x:c>
      <x:c r="F52" s="31" t="str">
        <x:v>ERP</x:v>
      </x:c>
      <x:c r="G52" s="31" t="str">
        <x:v>PLAN-002B</x:v>
      </x:c>
      <x:c r="H52" s="31" t="str">
        <x:v>EVI-002-01</x:v>
      </x:c>
      <x:c r="I52" s="72" t="n">
        <x:v>1</x:v>
      </x:c>
      <x:c r="J52" s="69" t="n">
        <x:v>46023</x:v>
      </x:c>
      <x:c r="K52" s="69"/>
      <x:c r="L52" s="31" t="str">
        <x:v>{}</x:v>
      </x:c>
    </x:row>
    <x:row r="53">
      <x:c r="A53" s="31" t="str">
        <x:v>REL-0049</x:v>
      </x:c>
      <x:c r="B53" s="31" t="str">
        <x:v>PROC.planCreatesProject</x:v>
      </x:c>
      <x:c r="C53" s="31" t="str">
        <x:v>PLAN-002B</x:v>
      </x:c>
      <x:c r="D53" s="31" t="str">
        <x:v>PRJ-002B</x:v>
      </x:c>
      <x:c r="E53" s="31" t="str">
        <x:v>CASE-002</x:v>
      </x:c>
      <x:c r="F53" s="31" t="str">
        <x:v>ERP</x:v>
      </x:c>
      <x:c r="G53" s="31" t="str">
        <x:v>PRJ-002B</x:v>
      </x:c>
      <x:c r="H53" s="31" t="str">
        <x:v>EVI-002-02</x:v>
      </x:c>
      <x:c r="I53" s="72" t="n">
        <x:v>1</x:v>
      </x:c>
      <x:c r="J53" s="69" t="n">
        <x:v>46023</x:v>
      </x:c>
      <x:c r="K53" s="69"/>
      <x:c r="L53" s="31" t="str">
        <x:v>{}</x:v>
      </x:c>
    </x:row>
    <x:row r="54">
      <x:c r="A54" s="31" t="str">
        <x:v>REL-0050</x:v>
      </x:c>
      <x:c r="B54" s="31" t="str">
        <x:v>PROC.splitFromDemand</x:v>
      </x:c>
      <x:c r="C54" s="31" t="str">
        <x:v>PRJ-002B</x:v>
      </x:c>
      <x:c r="D54" s="31" t="str">
        <x:v>DMD-002</x:v>
      </x:c>
      <x:c r="E54" s="31" t="str">
        <x:v>CASE-002</x:v>
      </x:c>
      <x:c r="F54" s="31" t="str">
        <x:v>ERP</x:v>
      </x:c>
      <x:c r="G54" s="31" t="str">
        <x:v>DMD-002</x:v>
      </x:c>
      <x:c r="H54" s="31" t="str">
        <x:v>EVI-002-03</x:v>
      </x:c>
      <x:c r="I54" s="72" t="n">
        <x:v>0.99</x:v>
      </x:c>
      <x:c r="J54" s="69" t="n">
        <x:v>46023</x:v>
      </x:c>
      <x:c r="K54" s="69"/>
      <x:c r="L54" s="31" t="str">
        <x:v>{}</x:v>
      </x:c>
    </x:row>
    <x:row r="55">
      <x:c r="A55" s="31" t="str">
        <x:v>REL-0051</x:v>
      </x:c>
      <x:c r="B55" s="31" t="str">
        <x:v>PROC.projectApprovedByBudget</x:v>
      </x:c>
      <x:c r="C55" s="31" t="str">
        <x:v>PRJ-002B</x:v>
      </x:c>
      <x:c r="D55" s="31" t="str">
        <x:v>BUD-002</x:v>
      </x:c>
      <x:c r="E55" s="31" t="str">
        <x:v>CASE-002</x:v>
      </x:c>
      <x:c r="F55" s="31" t="str">
        <x:v>OA</x:v>
      </x:c>
      <x:c r="G55" s="31" t="str">
        <x:v>BUD-002</x:v>
      </x:c>
      <x:c r="H55" s="31" t="str"/>
      <x:c r="I55" s="72" t="n">
        <x:v>1</x:v>
      </x:c>
      <x:c r="J55" s="69" t="n">
        <x:v>46023</x:v>
      </x:c>
      <x:c r="K55" s="69"/>
      <x:c r="L55" s="31" t="str">
        <x:v>{}</x:v>
      </x:c>
    </x:row>
    <x:row r="56">
      <x:c r="A56" s="31" t="str">
        <x:v>REL-0052</x:v>
      </x:c>
      <x:c r="B56" s="31" t="str">
        <x:v>PROC.demandFormsPlan</x:v>
      </x:c>
      <x:c r="C56" s="31" t="str">
        <x:v>DMD-002</x:v>
      </x:c>
      <x:c r="D56" s="31" t="str">
        <x:v>PLAN-002C</x:v>
      </x:c>
      <x:c r="E56" s="31" t="str">
        <x:v>CASE-002</x:v>
      </x:c>
      <x:c r="F56" s="31" t="str">
        <x:v>ERP</x:v>
      </x:c>
      <x:c r="G56" s="31" t="str">
        <x:v>PLAN-002C</x:v>
      </x:c>
      <x:c r="H56" s="31" t="str">
        <x:v>EVI-002-01</x:v>
      </x:c>
      <x:c r="I56" s="72" t="n">
        <x:v>1</x:v>
      </x:c>
      <x:c r="J56" s="69" t="n">
        <x:v>46023</x:v>
      </x:c>
      <x:c r="K56" s="69"/>
      <x:c r="L56" s="31" t="str">
        <x:v>{}</x:v>
      </x:c>
    </x:row>
    <x:row r="57">
      <x:c r="A57" s="31" t="str">
        <x:v>REL-0053</x:v>
      </x:c>
      <x:c r="B57" s="31" t="str">
        <x:v>PROC.planCreatesProject</x:v>
      </x:c>
      <x:c r="C57" s="31" t="str">
        <x:v>PLAN-002C</x:v>
      </x:c>
      <x:c r="D57" s="31" t="str">
        <x:v>PRJ-002C</x:v>
      </x:c>
      <x:c r="E57" s="31" t="str">
        <x:v>CASE-002</x:v>
      </x:c>
      <x:c r="F57" s="31" t="str">
        <x:v>ERP</x:v>
      </x:c>
      <x:c r="G57" s="31" t="str">
        <x:v>PRJ-002C</x:v>
      </x:c>
      <x:c r="H57" s="31" t="str">
        <x:v>EVI-002-02</x:v>
      </x:c>
      <x:c r="I57" s="72" t="n">
        <x:v>1</x:v>
      </x:c>
      <x:c r="J57" s="69" t="n">
        <x:v>46023</x:v>
      </x:c>
      <x:c r="K57" s="69"/>
      <x:c r="L57" s="31" t="str">
        <x:v>{}</x:v>
      </x:c>
    </x:row>
    <x:row r="58">
      <x:c r="A58" s="31" t="str">
        <x:v>REL-0054</x:v>
      </x:c>
      <x:c r="B58" s="31" t="str">
        <x:v>PROC.splitFromDemand</x:v>
      </x:c>
      <x:c r="C58" s="31" t="str">
        <x:v>PRJ-002C</x:v>
      </x:c>
      <x:c r="D58" s="31" t="str">
        <x:v>DMD-002</x:v>
      </x:c>
      <x:c r="E58" s="31" t="str">
        <x:v>CASE-002</x:v>
      </x:c>
      <x:c r="F58" s="31" t="str">
        <x:v>ERP</x:v>
      </x:c>
      <x:c r="G58" s="31" t="str">
        <x:v>DMD-002</x:v>
      </x:c>
      <x:c r="H58" s="31" t="str">
        <x:v>EVI-002-03</x:v>
      </x:c>
      <x:c r="I58" s="72" t="n">
        <x:v>0.99</x:v>
      </x:c>
      <x:c r="J58" s="69" t="n">
        <x:v>46023</x:v>
      </x:c>
      <x:c r="K58" s="69"/>
      <x:c r="L58" s="31" t="str">
        <x:v>{}</x:v>
      </x:c>
    </x:row>
    <x:row r="59">
      <x:c r="A59" s="31" t="str">
        <x:v>REL-0055</x:v>
      </x:c>
      <x:c r="B59" s="31" t="str">
        <x:v>PROC.projectApprovedByBudget</x:v>
      </x:c>
      <x:c r="C59" s="31" t="str">
        <x:v>PRJ-002C</x:v>
      </x:c>
      <x:c r="D59" s="31" t="str">
        <x:v>BUD-002</x:v>
      </x:c>
      <x:c r="E59" s="31" t="str">
        <x:v>CASE-002</x:v>
      </x:c>
      <x:c r="F59" s="31" t="str">
        <x:v>OA</x:v>
      </x:c>
      <x:c r="G59" s="31" t="str">
        <x:v>BUD-002</x:v>
      </x:c>
      <x:c r="H59" s="31" t="str"/>
      <x:c r="I59" s="72" t="n">
        <x:v>1</x:v>
      </x:c>
      <x:c r="J59" s="69" t="n">
        <x:v>46023</x:v>
      </x:c>
      <x:c r="K59" s="69"/>
      <x:c r="L59" s="31" t="str">
        <x:v>{}</x:v>
      </x:c>
    </x:row>
    <x:row r="60">
      <x:c r="A60" s="31" t="str">
        <x:v>REL-0056</x:v>
      </x:c>
      <x:c r="B60" s="31" t="str">
        <x:v>PROC.projectHasAnnouncement</x:v>
      </x:c>
      <x:c r="C60" s="31" t="str">
        <x:v>PRJ-003</x:v>
      </x:c>
      <x:c r="D60" s="31" t="str">
        <x:v>ANN-003</x:v>
      </x:c>
      <x:c r="E60" s="31" t="str">
        <x:v>CASE-003</x:v>
      </x:c>
      <x:c r="F60" s="31" t="str">
        <x:v>EProcurement</x:v>
      </x:c>
      <x:c r="G60" s="31" t="str">
        <x:v>ANN-003</x:v>
      </x:c>
      <x:c r="H60" s="31" t="str"/>
      <x:c r="I60" s="72" t="n">
        <x:v>1</x:v>
      </x:c>
      <x:c r="J60" s="69" t="n">
        <x:v>46023</x:v>
      </x:c>
      <x:c r="K60" s="69"/>
      <x:c r="L60" s="31" t="str">
        <x:v>{}</x:v>
      </x:c>
    </x:row>
    <x:row r="61">
      <x:c r="A61" s="31" t="str">
        <x:v>REL-0057</x:v>
      </x:c>
      <x:c r="B61" s="31" t="str">
        <x:v>PROC.projectHasAnnouncement</x:v>
      </x:c>
      <x:c r="C61" s="31" t="str">
        <x:v>PRJ-004</x:v>
      </x:c>
      <x:c r="D61" s="31" t="str">
        <x:v>ANN-004</x:v>
      </x:c>
      <x:c r="E61" s="31" t="str">
        <x:v>CASE-004</x:v>
      </x:c>
      <x:c r="F61" s="31" t="str">
        <x:v>EProcurement</x:v>
      </x:c>
      <x:c r="G61" s="31" t="str">
        <x:v>ANN-004</x:v>
      </x:c>
      <x:c r="H61" s="31" t="str"/>
      <x:c r="I61" s="72" t="n">
        <x:v>1</x:v>
      </x:c>
      <x:c r="J61" s="69" t="n">
        <x:v>46023</x:v>
      </x:c>
      <x:c r="K61" s="69"/>
      <x:c r="L61" s="31" t="str">
        <x:v>{}</x:v>
      </x:c>
    </x:row>
    <x:row r="62">
      <x:c r="A62" s="31" t="str">
        <x:v>REL-0058</x:v>
      </x:c>
      <x:c r="B62" s="31" t="str">
        <x:v>PROC.projectHasAnnouncement</x:v>
      </x:c>
      <x:c r="C62" s="31" t="str">
        <x:v>PRJ-005</x:v>
      </x:c>
      <x:c r="D62" s="31" t="str">
        <x:v>ANN-005</x:v>
      </x:c>
      <x:c r="E62" s="31" t="str">
        <x:v>CASE-005</x:v>
      </x:c>
      <x:c r="F62" s="31" t="str">
        <x:v>EProcurement</x:v>
      </x:c>
      <x:c r="G62" s="31" t="str">
        <x:v>ANN-005</x:v>
      </x:c>
      <x:c r="H62" s="31" t="str"/>
      <x:c r="I62" s="72" t="n">
        <x:v>1</x:v>
      </x:c>
      <x:c r="J62" s="69" t="n">
        <x:v>46023</x:v>
      </x:c>
      <x:c r="K62" s="69"/>
      <x:c r="L62" s="31" t="str">
        <x:v>{}</x:v>
      </x:c>
    </x:row>
    <x:row r="63">
      <x:c r="A63" s="31" t="str">
        <x:v>REL-0059</x:v>
      </x:c>
      <x:c r="B63" s="31" t="str">
        <x:v>PROC.projectHasAnnouncement</x:v>
      </x:c>
      <x:c r="C63" s="31" t="str">
        <x:v>PRJ-007</x:v>
      </x:c>
      <x:c r="D63" s="31" t="str">
        <x:v>ANN-007</x:v>
      </x:c>
      <x:c r="E63" s="31" t="str">
        <x:v>CASE-007</x:v>
      </x:c>
      <x:c r="F63" s="31" t="str">
        <x:v>EProcurement</x:v>
      </x:c>
      <x:c r="G63" s="31" t="str">
        <x:v>ANN-007</x:v>
      </x:c>
      <x:c r="H63" s="31" t="str"/>
      <x:c r="I63" s="72" t="n">
        <x:v>1</x:v>
      </x:c>
      <x:c r="J63" s="69" t="n">
        <x:v>46023</x:v>
      </x:c>
      <x:c r="K63" s="69"/>
      <x:c r="L63" s="31" t="str">
        <x:v>{}</x:v>
      </x:c>
    </x:row>
    <x:row r="64">
      <x:c r="A64" s="31" t="str">
        <x:v>REL-0060</x:v>
      </x:c>
      <x:c r="B64" s="31" t="str">
        <x:v>PROC.projectHasAnnouncement</x:v>
      </x:c>
      <x:c r="C64" s="31" t="str">
        <x:v>PRJ-008</x:v>
      </x:c>
      <x:c r="D64" s="31" t="str">
        <x:v>ANN-008</x:v>
      </x:c>
      <x:c r="E64" s="31" t="str">
        <x:v>CASE-008</x:v>
      </x:c>
      <x:c r="F64" s="31" t="str">
        <x:v>EProcurement</x:v>
      </x:c>
      <x:c r="G64" s="31" t="str">
        <x:v>ANN-008</x:v>
      </x:c>
      <x:c r="H64" s="31" t="str"/>
      <x:c r="I64" s="72" t="n">
        <x:v>1</x:v>
      </x:c>
      <x:c r="J64" s="69" t="n">
        <x:v>46023</x:v>
      </x:c>
      <x:c r="K64" s="69"/>
      <x:c r="L64" s="31" t="str">
        <x:v>{}</x:v>
      </x:c>
    </x:row>
    <x:row r="65">
      <x:c r="A65" s="31" t="str">
        <x:v>REL-0061</x:v>
      </x:c>
      <x:c r="B65" s="31" t="str">
        <x:v>PROC.supplierSubmitsBid</x:v>
      </x:c>
      <x:c r="C65" s="31" t="str">
        <x:v>SUP-C003</x:v>
      </x:c>
      <x:c r="D65" s="31" t="str">
        <x:v>BID-003A</x:v>
      </x:c>
      <x:c r="E65" s="31" t="str">
        <x:v>CASE-003</x:v>
      </x:c>
      <x:c r="F65" s="31" t="str">
        <x:v>EProcurement</x:v>
      </x:c>
      <x:c r="G65" s="31" t="str">
        <x:v>BID-003A</x:v>
      </x:c>
      <x:c r="H65" s="31" t="str"/>
      <x:c r="I65" s="72" t="n">
        <x:v>1</x:v>
      </x:c>
      <x:c r="J65" s="69" t="n">
        <x:v>46023</x:v>
      </x:c>
      <x:c r="K65" s="69"/>
      <x:c r="L65" s="31" t="str">
        <x:v>{}</x:v>
      </x:c>
    </x:row>
    <x:row r="66">
      <x:c r="A66" s="31" t="str">
        <x:v>REL-0062</x:v>
      </x:c>
      <x:c r="B66" s="31" t="str">
        <x:v>PROC.bidForProject</x:v>
      </x:c>
      <x:c r="C66" s="31" t="str">
        <x:v>BID-003A</x:v>
      </x:c>
      <x:c r="D66" s="31" t="str">
        <x:v>PRJ-003</x:v>
      </x:c>
      <x:c r="E66" s="31" t="str">
        <x:v>CASE-003</x:v>
      </x:c>
      <x:c r="F66" s="31" t="str">
        <x:v>EProcurement</x:v>
      </x:c>
      <x:c r="G66" s="31" t="str">
        <x:v>BID-003A</x:v>
      </x:c>
      <x:c r="H66" s="31" t="str"/>
      <x:c r="I66" s="72" t="n">
        <x:v>1</x:v>
      </x:c>
      <x:c r="J66" s="69" t="n">
        <x:v>46023</x:v>
      </x:c>
      <x:c r="K66" s="69"/>
      <x:c r="L66" s="31" t="str">
        <x:v>{}</x:v>
      </x:c>
    </x:row>
    <x:row r="67">
      <x:c r="A67" s="31" t="str">
        <x:v>REL-0063</x:v>
      </x:c>
      <x:c r="B67" s="31" t="str">
        <x:v>PROC.bidHasDocument</x:v>
      </x:c>
      <x:c r="C67" s="31" t="str">
        <x:v>BID-003A</x:v>
      </x:c>
      <x:c r="D67" s="31" t="str">
        <x:v>DOC-003A</x:v>
      </x:c>
      <x:c r="E67" s="31" t="str">
        <x:v>CASE-003</x:v>
      </x:c>
      <x:c r="F67" s="31" t="str">
        <x:v>EProcurement</x:v>
      </x:c>
      <x:c r="G67" s="31" t="str">
        <x:v>DOC-003A</x:v>
      </x:c>
      <x:c r="H67" s="31" t="str"/>
      <x:c r="I67" s="72" t="n">
        <x:v>1</x:v>
      </x:c>
      <x:c r="J67" s="69" t="n">
        <x:v>46023</x:v>
      </x:c>
      <x:c r="K67" s="69"/>
      <x:c r="L67" s="31" t="str">
        <x:v>{}</x:v>
      </x:c>
    </x:row>
    <x:row r="68">
      <x:c r="A68" s="31" t="str">
        <x:v>REL-0064</x:v>
      </x:c>
      <x:c r="B68" s="31" t="str">
        <x:v>PROC.supplierSubmitsBid</x:v>
      </x:c>
      <x:c r="C68" s="31" t="str">
        <x:v>SUP-C004</x:v>
      </x:c>
      <x:c r="D68" s="31" t="str">
        <x:v>BID-003B</x:v>
      </x:c>
      <x:c r="E68" s="31" t="str">
        <x:v>CASE-003</x:v>
      </x:c>
      <x:c r="F68" s="31" t="str">
        <x:v>EProcurement</x:v>
      </x:c>
      <x:c r="G68" s="31" t="str">
        <x:v>BID-003B</x:v>
      </x:c>
      <x:c r="H68" s="31" t="str"/>
      <x:c r="I68" s="72" t="n">
        <x:v>1</x:v>
      </x:c>
      <x:c r="J68" s="69" t="n">
        <x:v>46023</x:v>
      </x:c>
      <x:c r="K68" s="69"/>
      <x:c r="L68" s="31" t="str">
        <x:v>{}</x:v>
      </x:c>
    </x:row>
    <x:row r="69">
      <x:c r="A69" s="31" t="str">
        <x:v>REL-0065</x:v>
      </x:c>
      <x:c r="B69" s="31" t="str">
        <x:v>PROC.bidForProject</x:v>
      </x:c>
      <x:c r="C69" s="31" t="str">
        <x:v>BID-003B</x:v>
      </x:c>
      <x:c r="D69" s="31" t="str">
        <x:v>PRJ-003</x:v>
      </x:c>
      <x:c r="E69" s="31" t="str">
        <x:v>CASE-003</x:v>
      </x:c>
      <x:c r="F69" s="31" t="str">
        <x:v>EProcurement</x:v>
      </x:c>
      <x:c r="G69" s="31" t="str">
        <x:v>BID-003B</x:v>
      </x:c>
      <x:c r="H69" s="31" t="str"/>
      <x:c r="I69" s="72" t="n">
        <x:v>1</x:v>
      </x:c>
      <x:c r="J69" s="69" t="n">
        <x:v>46023</x:v>
      </x:c>
      <x:c r="K69" s="69"/>
      <x:c r="L69" s="31" t="str">
        <x:v>{}</x:v>
      </x:c>
    </x:row>
    <x:row r="70">
      <x:c r="A70" s="31" t="str">
        <x:v>REL-0066</x:v>
      </x:c>
      <x:c r="B70" s="31" t="str">
        <x:v>PROC.bidHasDocument</x:v>
      </x:c>
      <x:c r="C70" s="31" t="str">
        <x:v>BID-003B</x:v>
      </x:c>
      <x:c r="D70" s="31" t="str">
        <x:v>DOC-003B</x:v>
      </x:c>
      <x:c r="E70" s="31" t="str">
        <x:v>CASE-003</x:v>
      </x:c>
      <x:c r="F70" s="31" t="str">
        <x:v>EProcurement</x:v>
      </x:c>
      <x:c r="G70" s="31" t="str">
        <x:v>DOC-003B</x:v>
      </x:c>
      <x:c r="H70" s="31" t="str"/>
      <x:c r="I70" s="72" t="n">
        <x:v>1</x:v>
      </x:c>
      <x:c r="J70" s="69" t="n">
        <x:v>46023</x:v>
      </x:c>
      <x:c r="K70" s="69"/>
      <x:c r="L70" s="31" t="str">
        <x:v>{}</x:v>
      </x:c>
    </x:row>
    <x:row r="71">
      <x:c r="A71" s="31" t="str">
        <x:v>REL-0067</x:v>
      </x:c>
      <x:c r="B71" s="31" t="str">
        <x:v>PROC.supplierSubmitsBid</x:v>
      </x:c>
      <x:c r="C71" s="31" t="str">
        <x:v>SUP-C005</x:v>
      </x:c>
      <x:c r="D71" s="31" t="str">
        <x:v>BID-003C</x:v>
      </x:c>
      <x:c r="E71" s="31" t="str">
        <x:v>CASE-003</x:v>
      </x:c>
      <x:c r="F71" s="31" t="str">
        <x:v>EProcurement</x:v>
      </x:c>
      <x:c r="G71" s="31" t="str">
        <x:v>BID-003C</x:v>
      </x:c>
      <x:c r="H71" s="31" t="str"/>
      <x:c r="I71" s="72" t="n">
        <x:v>1</x:v>
      </x:c>
      <x:c r="J71" s="69" t="n">
        <x:v>46023</x:v>
      </x:c>
      <x:c r="K71" s="69"/>
      <x:c r="L71" s="31" t="str">
        <x:v>{}</x:v>
      </x:c>
    </x:row>
    <x:row r="72">
      <x:c r="A72" s="31" t="str">
        <x:v>REL-0068</x:v>
      </x:c>
      <x:c r="B72" s="31" t="str">
        <x:v>PROC.bidForProject</x:v>
      </x:c>
      <x:c r="C72" s="31" t="str">
        <x:v>BID-003C</x:v>
      </x:c>
      <x:c r="D72" s="31" t="str">
        <x:v>PRJ-003</x:v>
      </x:c>
      <x:c r="E72" s="31" t="str">
        <x:v>CASE-003</x:v>
      </x:c>
      <x:c r="F72" s="31" t="str">
        <x:v>EProcurement</x:v>
      </x:c>
      <x:c r="G72" s="31" t="str">
        <x:v>BID-003C</x:v>
      </x:c>
      <x:c r="H72" s="31" t="str"/>
      <x:c r="I72" s="72" t="n">
        <x:v>1</x:v>
      </x:c>
      <x:c r="J72" s="69" t="n">
        <x:v>46023</x:v>
      </x:c>
      <x:c r="K72" s="69"/>
      <x:c r="L72" s="31" t="str">
        <x:v>{}</x:v>
      </x:c>
    </x:row>
    <x:row r="73">
      <x:c r="A73" s="31" t="str">
        <x:v>REL-0069</x:v>
      </x:c>
      <x:c r="B73" s="31" t="str">
        <x:v>PROC.bidHasDocument</x:v>
      </x:c>
      <x:c r="C73" s="31" t="str">
        <x:v>BID-003C</x:v>
      </x:c>
      <x:c r="D73" s="31" t="str">
        <x:v>DOC-003C</x:v>
      </x:c>
      <x:c r="E73" s="31" t="str">
        <x:v>CASE-003</x:v>
      </x:c>
      <x:c r="F73" s="31" t="str">
        <x:v>EProcurement</x:v>
      </x:c>
      <x:c r="G73" s="31" t="str">
        <x:v>DOC-003C</x:v>
      </x:c>
      <x:c r="H73" s="31" t="str"/>
      <x:c r="I73" s="72" t="n">
        <x:v>1</x:v>
      </x:c>
      <x:c r="J73" s="69" t="n">
        <x:v>46023</x:v>
      </x:c>
      <x:c r="K73" s="69"/>
      <x:c r="L73" s="31" t="str">
        <x:v>{}</x:v>
      </x:c>
    </x:row>
    <x:row r="74">
      <x:c r="A74" s="31" t="str">
        <x:v>REL-0070</x:v>
      </x:c>
      <x:c r="B74" s="31" t="str">
        <x:v>PROC.supplierSubmitsBid</x:v>
      </x:c>
      <x:c r="C74" s="31" t="str">
        <x:v>SUP-C006</x:v>
      </x:c>
      <x:c r="D74" s="31" t="str">
        <x:v>BID-004A</x:v>
      </x:c>
      <x:c r="E74" s="31" t="str">
        <x:v>CASE-004</x:v>
      </x:c>
      <x:c r="F74" s="31" t="str">
        <x:v>EProcurement</x:v>
      </x:c>
      <x:c r="G74" s="31" t="str">
        <x:v>BID-004A</x:v>
      </x:c>
      <x:c r="H74" s="31" t="str"/>
      <x:c r="I74" s="72" t="n">
        <x:v>1</x:v>
      </x:c>
      <x:c r="J74" s="69" t="n">
        <x:v>46023</x:v>
      </x:c>
      <x:c r="K74" s="69"/>
      <x:c r="L74" s="31" t="str">
        <x:v>{}</x:v>
      </x:c>
    </x:row>
    <x:row r="75">
      <x:c r="A75" s="31" t="str">
        <x:v>REL-0071</x:v>
      </x:c>
      <x:c r="B75" s="31" t="str">
        <x:v>PROC.bidForProject</x:v>
      </x:c>
      <x:c r="C75" s="31" t="str">
        <x:v>BID-004A</x:v>
      </x:c>
      <x:c r="D75" s="31" t="str">
        <x:v>PRJ-004</x:v>
      </x:c>
      <x:c r="E75" s="31" t="str">
        <x:v>CASE-004</x:v>
      </x:c>
      <x:c r="F75" s="31" t="str">
        <x:v>EProcurement</x:v>
      </x:c>
      <x:c r="G75" s="31" t="str">
        <x:v>BID-004A</x:v>
      </x:c>
      <x:c r="H75" s="31" t="str"/>
      <x:c r="I75" s="72" t="n">
        <x:v>1</x:v>
      </x:c>
      <x:c r="J75" s="69" t="n">
        <x:v>46023</x:v>
      </x:c>
      <x:c r="K75" s="69"/>
      <x:c r="L75" s="31" t="str">
        <x:v>{}</x:v>
      </x:c>
    </x:row>
    <x:row r="76">
      <x:c r="A76" s="31" t="str">
        <x:v>REL-0072</x:v>
      </x:c>
      <x:c r="B76" s="31" t="str">
        <x:v>PROC.bidHasDocument</x:v>
      </x:c>
      <x:c r="C76" s="31" t="str">
        <x:v>BID-004A</x:v>
      </x:c>
      <x:c r="D76" s="31" t="str">
        <x:v>DOC-004A</x:v>
      </x:c>
      <x:c r="E76" s="31" t="str">
        <x:v>CASE-004</x:v>
      </x:c>
      <x:c r="F76" s="31" t="str">
        <x:v>EProcurement</x:v>
      </x:c>
      <x:c r="G76" s="31" t="str">
        <x:v>DOC-004A</x:v>
      </x:c>
      <x:c r="H76" s="31" t="str"/>
      <x:c r="I76" s="72" t="n">
        <x:v>1</x:v>
      </x:c>
      <x:c r="J76" s="69" t="n">
        <x:v>46023</x:v>
      </x:c>
      <x:c r="K76" s="69"/>
      <x:c r="L76" s="31" t="str">
        <x:v>{}</x:v>
      </x:c>
    </x:row>
    <x:row r="77">
      <x:c r="A77" s="31" t="str">
        <x:v>REL-0073</x:v>
      </x:c>
      <x:c r="B77" s="31" t="str">
        <x:v>PROC.supplierSubmitsBid</x:v>
      </x:c>
      <x:c r="C77" s="31" t="str">
        <x:v>SUP-C007</x:v>
      </x:c>
      <x:c r="D77" s="31" t="str">
        <x:v>BID-004B</x:v>
      </x:c>
      <x:c r="E77" s="31" t="str">
        <x:v>CASE-004</x:v>
      </x:c>
      <x:c r="F77" s="31" t="str">
        <x:v>EProcurement</x:v>
      </x:c>
      <x:c r="G77" s="31" t="str">
        <x:v>BID-004B</x:v>
      </x:c>
      <x:c r="H77" s="31" t="str"/>
      <x:c r="I77" s="72" t="n">
        <x:v>1</x:v>
      </x:c>
      <x:c r="J77" s="69" t="n">
        <x:v>46023</x:v>
      </x:c>
      <x:c r="K77" s="69"/>
      <x:c r="L77" s="31" t="str">
        <x:v>{}</x:v>
      </x:c>
    </x:row>
    <x:row r="78">
      <x:c r="A78" s="31" t="str">
        <x:v>REL-0074</x:v>
      </x:c>
      <x:c r="B78" s="31" t="str">
        <x:v>PROC.bidForProject</x:v>
      </x:c>
      <x:c r="C78" s="31" t="str">
        <x:v>BID-004B</x:v>
      </x:c>
      <x:c r="D78" s="31" t="str">
        <x:v>PRJ-004</x:v>
      </x:c>
      <x:c r="E78" s="31" t="str">
        <x:v>CASE-004</x:v>
      </x:c>
      <x:c r="F78" s="31" t="str">
        <x:v>EProcurement</x:v>
      </x:c>
      <x:c r="G78" s="31" t="str">
        <x:v>BID-004B</x:v>
      </x:c>
      <x:c r="H78" s="31" t="str"/>
      <x:c r="I78" s="72" t="n">
        <x:v>1</x:v>
      </x:c>
      <x:c r="J78" s="69" t="n">
        <x:v>46023</x:v>
      </x:c>
      <x:c r="K78" s="69"/>
      <x:c r="L78" s="31" t="str">
        <x:v>{}</x:v>
      </x:c>
    </x:row>
    <x:row r="79">
      <x:c r="A79" s="31" t="str">
        <x:v>REL-0075</x:v>
      </x:c>
      <x:c r="B79" s="31" t="str">
        <x:v>PROC.bidHasDocument</x:v>
      </x:c>
      <x:c r="C79" s="31" t="str">
        <x:v>BID-004B</x:v>
      </x:c>
      <x:c r="D79" s="31" t="str">
        <x:v>DOC-004B</x:v>
      </x:c>
      <x:c r="E79" s="31" t="str">
        <x:v>CASE-004</x:v>
      </x:c>
      <x:c r="F79" s="31" t="str">
        <x:v>EProcurement</x:v>
      </x:c>
      <x:c r="G79" s="31" t="str">
        <x:v>DOC-004B</x:v>
      </x:c>
      <x:c r="H79" s="31" t="str"/>
      <x:c r="I79" s="72" t="n">
        <x:v>1</x:v>
      </x:c>
      <x:c r="J79" s="69" t="n">
        <x:v>46023</x:v>
      </x:c>
      <x:c r="K79" s="69"/>
      <x:c r="L79" s="31" t="str">
        <x:v>{}</x:v>
      </x:c>
    </x:row>
    <x:row r="80">
      <x:c r="A80" s="31" t="str">
        <x:v>REL-0076</x:v>
      </x:c>
      <x:c r="B80" s="31" t="str">
        <x:v>PROC.supplierSubmitsBid</x:v>
      </x:c>
      <x:c r="C80" s="31" t="str">
        <x:v>SUP-C008</x:v>
      </x:c>
      <x:c r="D80" s="31" t="str">
        <x:v>BID-004C</x:v>
      </x:c>
      <x:c r="E80" s="31" t="str">
        <x:v>CASE-004</x:v>
      </x:c>
      <x:c r="F80" s="31" t="str">
        <x:v>EProcurement</x:v>
      </x:c>
      <x:c r="G80" s="31" t="str">
        <x:v>BID-004C</x:v>
      </x:c>
      <x:c r="H80" s="31" t="str"/>
      <x:c r="I80" s="72" t="n">
        <x:v>1</x:v>
      </x:c>
      <x:c r="J80" s="69" t="n">
        <x:v>46023</x:v>
      </x:c>
      <x:c r="K80" s="69"/>
      <x:c r="L80" s="31" t="str">
        <x:v>{}</x:v>
      </x:c>
    </x:row>
    <x:row r="81">
      <x:c r="A81" s="31" t="str">
        <x:v>REL-0077</x:v>
      </x:c>
      <x:c r="B81" s="31" t="str">
        <x:v>PROC.bidForProject</x:v>
      </x:c>
      <x:c r="C81" s="31" t="str">
        <x:v>BID-004C</x:v>
      </x:c>
      <x:c r="D81" s="31" t="str">
        <x:v>PRJ-004</x:v>
      </x:c>
      <x:c r="E81" s="31" t="str">
        <x:v>CASE-004</x:v>
      </x:c>
      <x:c r="F81" s="31" t="str">
        <x:v>EProcurement</x:v>
      </x:c>
      <x:c r="G81" s="31" t="str">
        <x:v>BID-004C</x:v>
      </x:c>
      <x:c r="H81" s="31" t="str"/>
      <x:c r="I81" s="72" t="n">
        <x:v>1</x:v>
      </x:c>
      <x:c r="J81" s="69" t="n">
        <x:v>46023</x:v>
      </x:c>
      <x:c r="K81" s="69"/>
      <x:c r="L81" s="31" t="str">
        <x:v>{}</x:v>
      </x:c>
    </x:row>
    <x:row r="82">
      <x:c r="A82" s="31" t="str">
        <x:v>REL-0078</x:v>
      </x:c>
      <x:c r="B82" s="31" t="str">
        <x:v>PROC.bidHasDocument</x:v>
      </x:c>
      <x:c r="C82" s="31" t="str">
        <x:v>BID-004C</x:v>
      </x:c>
      <x:c r="D82" s="31" t="str">
        <x:v>DOC-004C</x:v>
      </x:c>
      <x:c r="E82" s="31" t="str">
        <x:v>CASE-004</x:v>
      </x:c>
      <x:c r="F82" s="31" t="str">
        <x:v>EProcurement</x:v>
      </x:c>
      <x:c r="G82" s="31" t="str">
        <x:v>DOC-004C</x:v>
      </x:c>
      <x:c r="H82" s="31" t="str"/>
      <x:c r="I82" s="72" t="n">
        <x:v>1</x:v>
      </x:c>
      <x:c r="J82" s="69" t="n">
        <x:v>46023</x:v>
      </x:c>
      <x:c r="K82" s="69"/>
      <x:c r="L82" s="31" t="str">
        <x:v>{}</x:v>
      </x:c>
    </x:row>
    <x:row r="83">
      <x:c r="A83" s="31" t="str">
        <x:v>REL-0079</x:v>
      </x:c>
      <x:c r="B83" s="31" t="str">
        <x:v>PROC.supplierSubmitsBid</x:v>
      </x:c>
      <x:c r="C83" s="31" t="str">
        <x:v>SUP-C009</x:v>
      </x:c>
      <x:c r="D83" s="31" t="str">
        <x:v>BID-005A</x:v>
      </x:c>
      <x:c r="E83" s="31" t="str">
        <x:v>CASE-005</x:v>
      </x:c>
      <x:c r="F83" s="31" t="str">
        <x:v>EProcurement</x:v>
      </x:c>
      <x:c r="G83" s="31" t="str">
        <x:v>BID-005A</x:v>
      </x:c>
      <x:c r="H83" s="31" t="str"/>
      <x:c r="I83" s="72" t="n">
        <x:v>1</x:v>
      </x:c>
      <x:c r="J83" s="69" t="n">
        <x:v>46023</x:v>
      </x:c>
      <x:c r="K83" s="69"/>
      <x:c r="L83" s="31" t="str">
        <x:v>{}</x:v>
      </x:c>
    </x:row>
    <x:row r="84">
      <x:c r="A84" s="31" t="str">
        <x:v>REL-0080</x:v>
      </x:c>
      <x:c r="B84" s="31" t="str">
        <x:v>PROC.bidForProject</x:v>
      </x:c>
      <x:c r="C84" s="31" t="str">
        <x:v>BID-005A</x:v>
      </x:c>
      <x:c r="D84" s="31" t="str">
        <x:v>PRJ-005</x:v>
      </x:c>
      <x:c r="E84" s="31" t="str">
        <x:v>CASE-005</x:v>
      </x:c>
      <x:c r="F84" s="31" t="str">
        <x:v>EProcurement</x:v>
      </x:c>
      <x:c r="G84" s="31" t="str">
        <x:v>BID-005A</x:v>
      </x:c>
      <x:c r="H84" s="31" t="str"/>
      <x:c r="I84" s="72" t="n">
        <x:v>1</x:v>
      </x:c>
      <x:c r="J84" s="69" t="n">
        <x:v>46023</x:v>
      </x:c>
      <x:c r="K84" s="69"/>
      <x:c r="L84" s="31" t="str">
        <x:v>{}</x:v>
      </x:c>
    </x:row>
    <x:row r="85">
      <x:c r="A85" s="31" t="str">
        <x:v>REL-0081</x:v>
      </x:c>
      <x:c r="B85" s="31" t="str">
        <x:v>PROC.supplierSubmitsBid</x:v>
      </x:c>
      <x:c r="C85" s="31" t="str">
        <x:v>SUP-C011</x:v>
      </x:c>
      <x:c r="D85" s="31" t="str">
        <x:v>BID-007A</x:v>
      </x:c>
      <x:c r="E85" s="31" t="str">
        <x:v>CASE-007</x:v>
      </x:c>
      <x:c r="F85" s="31" t="str">
        <x:v>EProcurement</x:v>
      </x:c>
      <x:c r="G85" s="31" t="str">
        <x:v>BID-007A</x:v>
      </x:c>
      <x:c r="H85" s="31" t="str"/>
      <x:c r="I85" s="72" t="n">
        <x:v>1</x:v>
      </x:c>
      <x:c r="J85" s="69" t="n">
        <x:v>46023</x:v>
      </x:c>
      <x:c r="K85" s="69"/>
      <x:c r="L85" s="31" t="str">
        <x:v>{}</x:v>
      </x:c>
    </x:row>
    <x:row r="86">
      <x:c r="A86" s="31" t="str">
        <x:v>REL-0082</x:v>
      </x:c>
      <x:c r="B86" s="31" t="str">
        <x:v>PROC.bidForProject</x:v>
      </x:c>
      <x:c r="C86" s="31" t="str">
        <x:v>BID-007A</x:v>
      </x:c>
      <x:c r="D86" s="31" t="str">
        <x:v>PRJ-007</x:v>
      </x:c>
      <x:c r="E86" s="31" t="str">
        <x:v>CASE-007</x:v>
      </x:c>
      <x:c r="F86" s="31" t="str">
        <x:v>EProcurement</x:v>
      </x:c>
      <x:c r="G86" s="31" t="str">
        <x:v>BID-007A</x:v>
      </x:c>
      <x:c r="H86" s="31" t="str"/>
      <x:c r="I86" s="72" t="n">
        <x:v>1</x:v>
      </x:c>
      <x:c r="J86" s="69" t="n">
        <x:v>46023</x:v>
      </x:c>
      <x:c r="K86" s="69"/>
      <x:c r="L86" s="31" t="str">
        <x:v>{}</x:v>
      </x:c>
    </x:row>
    <x:row r="87">
      <x:c r="A87" s="31" t="str">
        <x:v>REL-0083</x:v>
      </x:c>
      <x:c r="B87" s="31" t="str">
        <x:v>PROC.supplierSubmitsBid</x:v>
      </x:c>
      <x:c r="C87" s="31" t="str">
        <x:v>SUP-C012</x:v>
      </x:c>
      <x:c r="D87" s="31" t="str">
        <x:v>BID-008A</x:v>
      </x:c>
      <x:c r="E87" s="31" t="str">
        <x:v>CASE-008</x:v>
      </x:c>
      <x:c r="F87" s="31" t="str">
        <x:v>EProcurement</x:v>
      </x:c>
      <x:c r="G87" s="31" t="str">
        <x:v>BID-008A</x:v>
      </x:c>
      <x:c r="H87" s="31" t="str"/>
      <x:c r="I87" s="72" t="n">
        <x:v>1</x:v>
      </x:c>
      <x:c r="J87" s="69" t="n">
        <x:v>46023</x:v>
      </x:c>
      <x:c r="K87" s="69"/>
      <x:c r="L87" s="31" t="str">
        <x:v>{}</x:v>
      </x:c>
    </x:row>
    <x:row r="88">
      <x:c r="A88" s="31" t="str">
        <x:v>REL-0084</x:v>
      </x:c>
      <x:c r="B88" s="31" t="str">
        <x:v>PROC.bidForProject</x:v>
      </x:c>
      <x:c r="C88" s="31" t="str">
        <x:v>BID-008A</x:v>
      </x:c>
      <x:c r="D88" s="31" t="str">
        <x:v>PRJ-008</x:v>
      </x:c>
      <x:c r="E88" s="31" t="str">
        <x:v>CASE-008</x:v>
      </x:c>
      <x:c r="F88" s="31" t="str">
        <x:v>EProcurement</x:v>
      </x:c>
      <x:c r="G88" s="31" t="str">
        <x:v>BID-008A</x:v>
      </x:c>
      <x:c r="H88" s="31" t="str"/>
      <x:c r="I88" s="72" t="n">
        <x:v>1</x:v>
      </x:c>
      <x:c r="J88" s="69" t="n">
        <x:v>46023</x:v>
      </x:c>
      <x:c r="K88" s="69"/>
      <x:c r="L88" s="31" t="str">
        <x:v>{}</x:v>
      </x:c>
    </x:row>
    <x:row r="89">
      <x:c r="A89" s="31" t="str">
        <x:v>REL-0085</x:v>
      </x:c>
      <x:c r="B89" s="31" t="str">
        <x:v>PROC.documentUploadedFromIP</x:v>
      </x:c>
      <x:c r="C89" s="31" t="str">
        <x:v>DOC-003A</x:v>
      </x:c>
      <x:c r="D89" s="31" t="str">
        <x:v>IP-003-SHARED</x:v>
      </x:c>
      <x:c r="E89" s="31" t="str">
        <x:v>CASE-003</x:v>
      </x:c>
      <x:c r="F89" s="31" t="str">
        <x:v>LogAudit</x:v>
      </x:c>
      <x:c r="G89" s="31" t="str">
        <x:v>DOC-003A</x:v>
      </x:c>
      <x:c r="H89" s="31" t="str">
        <x:v>EVI-003-01</x:v>
      </x:c>
      <x:c r="I89" s="72" t="n">
        <x:v>1</x:v>
      </x:c>
      <x:c r="J89" s="69" t="n">
        <x:v>46023</x:v>
      </x:c>
      <x:c r="K89" s="69"/>
      <x:c r="L89" s="31" t="str">
        <x:v>{}</x:v>
      </x:c>
    </x:row>
    <x:row r="90">
      <x:c r="A90" s="31" t="str">
        <x:v>REL-0086</x:v>
      </x:c>
      <x:c r="B90" s="31" t="str">
        <x:v>PROC.documentCreatedOnDevice</x:v>
      </x:c>
      <x:c r="C90" s="31" t="str">
        <x:v>DOC-003A</x:v>
      </x:c>
      <x:c r="D90" s="31" t="str">
        <x:v>DEV-003-SHARED</x:v>
      </x:c>
      <x:c r="E90" s="31" t="str">
        <x:v>CASE-003</x:v>
      </x:c>
      <x:c r="F90" s="31" t="str">
        <x:v>LogAudit</x:v>
      </x:c>
      <x:c r="G90" s="31" t="str">
        <x:v>DOC-003A</x:v>
      </x:c>
      <x:c r="H90" s="31" t="str">
        <x:v>EVI-003-02</x:v>
      </x:c>
      <x:c r="I90" s="72" t="n">
        <x:v>0.98</x:v>
      </x:c>
      <x:c r="J90" s="69" t="n">
        <x:v>46023</x:v>
      </x:c>
      <x:c r="K90" s="69"/>
      <x:c r="L90" s="31" t="str">
        <x:v>{}</x:v>
      </x:c>
    </x:row>
    <x:row r="91">
      <x:c r="A91" s="31" t="str">
        <x:v>REL-0087</x:v>
      </x:c>
      <x:c r="B91" s="31" t="str">
        <x:v>PROC.documentUploadedFromIP</x:v>
      </x:c>
      <x:c r="C91" s="31" t="str">
        <x:v>DOC-003B</x:v>
      </x:c>
      <x:c r="D91" s="31" t="str">
        <x:v>IP-003-SHARED</x:v>
      </x:c>
      <x:c r="E91" s="31" t="str">
        <x:v>CASE-003</x:v>
      </x:c>
      <x:c r="F91" s="31" t="str">
        <x:v>LogAudit</x:v>
      </x:c>
      <x:c r="G91" s="31" t="str">
        <x:v>DOC-003B</x:v>
      </x:c>
      <x:c r="H91" s="31" t="str">
        <x:v>EVI-003-01</x:v>
      </x:c>
      <x:c r="I91" s="72" t="n">
        <x:v>1</x:v>
      </x:c>
      <x:c r="J91" s="69" t="n">
        <x:v>46023</x:v>
      </x:c>
      <x:c r="K91" s="69"/>
      <x:c r="L91" s="31" t="str">
        <x:v>{}</x:v>
      </x:c>
    </x:row>
    <x:row r="92">
      <x:c r="A92" s="31" t="str">
        <x:v>REL-0088</x:v>
      </x:c>
      <x:c r="B92" s="31" t="str">
        <x:v>PROC.documentCreatedOnDevice</x:v>
      </x:c>
      <x:c r="C92" s="31" t="str">
        <x:v>DOC-003B</x:v>
      </x:c>
      <x:c r="D92" s="31" t="str">
        <x:v>DEV-003-SHARED</x:v>
      </x:c>
      <x:c r="E92" s="31" t="str">
        <x:v>CASE-003</x:v>
      </x:c>
      <x:c r="F92" s="31" t="str">
        <x:v>LogAudit</x:v>
      </x:c>
      <x:c r="G92" s="31" t="str">
        <x:v>DOC-003B</x:v>
      </x:c>
      <x:c r="H92" s="31" t="str">
        <x:v>EVI-003-02</x:v>
      </x:c>
      <x:c r="I92" s="72" t="n">
        <x:v>0.98</x:v>
      </x:c>
      <x:c r="J92" s="69" t="n">
        <x:v>46023</x:v>
      </x:c>
      <x:c r="K92" s="69"/>
      <x:c r="L92" s="31" t="str">
        <x:v>{}</x:v>
      </x:c>
    </x:row>
    <x:row r="93">
      <x:c r="A93" s="31" t="str">
        <x:v>REL-0089</x:v>
      </x:c>
      <x:c r="B93" s="31" t="str">
        <x:v>PROC.documentUploadedFromIP</x:v>
      </x:c>
      <x:c r="C93" s="31" t="str">
        <x:v>DOC-003C</x:v>
      </x:c>
      <x:c r="D93" s="31" t="str">
        <x:v>IP-003-SHARED</x:v>
      </x:c>
      <x:c r="E93" s="31" t="str">
        <x:v>CASE-003</x:v>
      </x:c>
      <x:c r="F93" s="31" t="str">
        <x:v>LogAudit</x:v>
      </x:c>
      <x:c r="G93" s="31" t="str">
        <x:v>DOC-003C</x:v>
      </x:c>
      <x:c r="H93" s="31" t="str">
        <x:v>EVI-003-01</x:v>
      </x:c>
      <x:c r="I93" s="72" t="n">
        <x:v>1</x:v>
      </x:c>
      <x:c r="J93" s="69" t="n">
        <x:v>46023</x:v>
      </x:c>
      <x:c r="K93" s="69"/>
      <x:c r="L93" s="31" t="str">
        <x:v>{}</x:v>
      </x:c>
    </x:row>
    <x:row r="94">
      <x:c r="A94" s="31" t="str">
        <x:v>REL-0090</x:v>
      </x:c>
      <x:c r="B94" s="31" t="str">
        <x:v>PROC.documentCreatedOnDevice</x:v>
      </x:c>
      <x:c r="C94" s="31" t="str">
        <x:v>DOC-003C</x:v>
      </x:c>
      <x:c r="D94" s="31" t="str">
        <x:v>DEV-003-SHARED</x:v>
      </x:c>
      <x:c r="E94" s="31" t="str">
        <x:v>CASE-003</x:v>
      </x:c>
      <x:c r="F94" s="31" t="str">
        <x:v>LogAudit</x:v>
      </x:c>
      <x:c r="G94" s="31" t="str">
        <x:v>DOC-003C</x:v>
      </x:c>
      <x:c r="H94" s="31" t="str">
        <x:v>EVI-003-02</x:v>
      </x:c>
      <x:c r="I94" s="72" t="n">
        <x:v>0.98</x:v>
      </x:c>
      <x:c r="J94" s="69" t="n">
        <x:v>46023</x:v>
      </x:c>
      <x:c r="K94" s="69"/>
      <x:c r="L94" s="31" t="str">
        <x:v>{}</x:v>
      </x:c>
    </x:row>
    <x:row r="95">
      <x:c r="A95" s="31" t="str">
        <x:v>REL-0091</x:v>
      </x:c>
      <x:c r="B95" s="31" t="str">
        <x:v>PROC.documentUploadedFromIP</x:v>
      </x:c>
      <x:c r="C95" s="31" t="str">
        <x:v>DOC-004A</x:v>
      </x:c>
      <x:c r="D95" s="31" t="str">
        <x:v>IP-004-SHARED</x:v>
      </x:c>
      <x:c r="E95" s="31" t="str">
        <x:v>CASE-004</x:v>
      </x:c>
      <x:c r="F95" s="31" t="str">
        <x:v>LogAudit</x:v>
      </x:c>
      <x:c r="G95" s="31" t="str">
        <x:v>DOC-004A</x:v>
      </x:c>
      <x:c r="H95" s="31" t="str">
        <x:v>EVI-004-04</x:v>
      </x:c>
      <x:c r="I95" s="72" t="n">
        <x:v>0.99</x:v>
      </x:c>
      <x:c r="J95" s="69" t="n">
        <x:v>46023</x:v>
      </x:c>
      <x:c r="K95" s="69"/>
      <x:c r="L95" s="31" t="str">
        <x:v>{}</x:v>
      </x:c>
    </x:row>
    <x:row r="96">
      <x:c r="A96" s="31" t="str">
        <x:v>REL-0092</x:v>
      </x:c>
      <x:c r="B96" s="31" t="str">
        <x:v>PROC.documentCreatedOnDevice</x:v>
      </x:c>
      <x:c r="C96" s="31" t="str">
        <x:v>DOC-004A</x:v>
      </x:c>
      <x:c r="D96" s="31" t="str">
        <x:v>DEV-004-SHARED</x:v>
      </x:c>
      <x:c r="E96" s="31" t="str">
        <x:v>CASE-004</x:v>
      </x:c>
      <x:c r="F96" s="31" t="str">
        <x:v>LogAudit</x:v>
      </x:c>
      <x:c r="G96" s="31" t="str">
        <x:v>DOC-004A</x:v>
      </x:c>
      <x:c r="H96" s="31" t="str">
        <x:v>EVI-004-05</x:v>
      </x:c>
      <x:c r="I96" s="72" t="n">
        <x:v>0.96</x:v>
      </x:c>
      <x:c r="J96" s="69" t="n">
        <x:v>46023</x:v>
      </x:c>
      <x:c r="K96" s="69"/>
      <x:c r="L96" s="31" t="str">
        <x:v>{}</x:v>
      </x:c>
    </x:row>
    <x:row r="97">
      <x:c r="A97" s="31" t="str">
        <x:v>REL-0093</x:v>
      </x:c>
      <x:c r="B97" s="31" t="str">
        <x:v>PROC.documentUploadedFromIP</x:v>
      </x:c>
      <x:c r="C97" s="31" t="str">
        <x:v>DOC-004B</x:v>
      </x:c>
      <x:c r="D97" s="31" t="str">
        <x:v>IP-004-SHARED</x:v>
      </x:c>
      <x:c r="E97" s="31" t="str">
        <x:v>CASE-004</x:v>
      </x:c>
      <x:c r="F97" s="31" t="str">
        <x:v>LogAudit</x:v>
      </x:c>
      <x:c r="G97" s="31" t="str">
        <x:v>DOC-004B</x:v>
      </x:c>
      <x:c r="H97" s="31" t="str">
        <x:v>EVI-004-04</x:v>
      </x:c>
      <x:c r="I97" s="72" t="n">
        <x:v>0.99</x:v>
      </x:c>
      <x:c r="J97" s="69" t="n">
        <x:v>46023</x:v>
      </x:c>
      <x:c r="K97" s="69"/>
      <x:c r="L97" s="31" t="str">
        <x:v>{}</x:v>
      </x:c>
    </x:row>
    <x:row r="98">
      <x:c r="A98" s="31" t="str">
        <x:v>REL-0094</x:v>
      </x:c>
      <x:c r="B98" s="31" t="str">
        <x:v>PROC.documentCreatedOnDevice</x:v>
      </x:c>
      <x:c r="C98" s="31" t="str">
        <x:v>DOC-004B</x:v>
      </x:c>
      <x:c r="D98" s="31" t="str">
        <x:v>DEV-004-SHARED</x:v>
      </x:c>
      <x:c r="E98" s="31" t="str">
        <x:v>CASE-004</x:v>
      </x:c>
      <x:c r="F98" s="31" t="str">
        <x:v>LogAudit</x:v>
      </x:c>
      <x:c r="G98" s="31" t="str">
        <x:v>DOC-004B</x:v>
      </x:c>
      <x:c r="H98" s="31" t="str">
        <x:v>EVI-004-05</x:v>
      </x:c>
      <x:c r="I98" s="72" t="n">
        <x:v>0.96</x:v>
      </x:c>
      <x:c r="J98" s="69" t="n">
        <x:v>46023</x:v>
      </x:c>
      <x:c r="K98" s="69"/>
      <x:c r="L98" s="31" t="str">
        <x:v>{}</x:v>
      </x:c>
    </x:row>
    <x:row r="99">
      <x:c r="A99" s="31" t="str">
        <x:v>REL-0095</x:v>
      </x:c>
      <x:c r="B99" s="31" t="str">
        <x:v>PROC.documentUploadedFromIP</x:v>
      </x:c>
      <x:c r="C99" s="31" t="str">
        <x:v>DOC-004C</x:v>
      </x:c>
      <x:c r="D99" s="31" t="str">
        <x:v>IP-004-SHARED</x:v>
      </x:c>
      <x:c r="E99" s="31" t="str">
        <x:v>CASE-004</x:v>
      </x:c>
      <x:c r="F99" s="31" t="str">
        <x:v>LogAudit</x:v>
      </x:c>
      <x:c r="G99" s="31" t="str">
        <x:v>DOC-004C</x:v>
      </x:c>
      <x:c r="H99" s="31" t="str">
        <x:v>EVI-004-04</x:v>
      </x:c>
      <x:c r="I99" s="72" t="n">
        <x:v>0.99</x:v>
      </x:c>
      <x:c r="J99" s="69" t="n">
        <x:v>46023</x:v>
      </x:c>
      <x:c r="K99" s="69"/>
      <x:c r="L99" s="31" t="str">
        <x:v>{}</x:v>
      </x:c>
    </x:row>
    <x:row r="100">
      <x:c r="A100" s="31" t="str">
        <x:v>REL-0096</x:v>
      </x:c>
      <x:c r="B100" s="31" t="str">
        <x:v>PROC.documentCreatedOnDevice</x:v>
      </x:c>
      <x:c r="C100" s="31" t="str">
        <x:v>DOC-004C</x:v>
      </x:c>
      <x:c r="D100" s="31" t="str">
        <x:v>DEV-004-SHARED</x:v>
      </x:c>
      <x:c r="E100" s="31" t="str">
        <x:v>CASE-004</x:v>
      </x:c>
      <x:c r="F100" s="31" t="str">
        <x:v>LogAudit</x:v>
      </x:c>
      <x:c r="G100" s="31" t="str">
        <x:v>DOC-004C</x:v>
      </x:c>
      <x:c r="H100" s="31" t="str">
        <x:v>EVI-004-05</x:v>
      </x:c>
      <x:c r="I100" s="72" t="n">
        <x:v>0.96</x:v>
      </x:c>
      <x:c r="J100" s="69" t="n">
        <x:v>46023</x:v>
      </x:c>
      <x:c r="K100" s="69"/>
      <x:c r="L100" s="31" t="str">
        <x:v>{}</x:v>
      </x:c>
    </x:row>
    <x:row r="101">
      <x:c r="A101" s="31" t="str">
        <x:v>REL-0097</x:v>
      </x:c>
      <x:c r="B101" s="31" t="str">
        <x:v>PROC.personControlsSupplier</x:v>
      </x:c>
      <x:c r="C101" s="31" t="str">
        <x:v>PER-CTRL-001</x:v>
      </x:c>
      <x:c r="D101" s="31" t="str">
        <x:v>SUP-C006</x:v>
      </x:c>
      <x:c r="E101" s="31" t="str">
        <x:v>CASE-004</x:v>
      </x:c>
      <x:c r="F101" s="31" t="str">
        <x:v>ExternalCorp</x:v>
      </x:c>
      <x:c r="G101" s="31" t="str">
        <x:v>SUP-C006</x:v>
      </x:c>
      <x:c r="H101" s="31" t="str">
        <x:v>EVI-004-01</x:v>
      </x:c>
      <x:c r="I101" s="72" t="n">
        <x:v>0.97</x:v>
      </x:c>
      <x:c r="J101" s="69" t="n">
        <x:v>46023</x:v>
      </x:c>
      <x:c r="K101" s="69"/>
      <x:c r="L101" s="31" t="str">
        <x:v>{}</x:v>
      </x:c>
    </x:row>
    <x:row r="102">
      <x:c r="A102" s="31" t="str">
        <x:v>REL-0098</x:v>
      </x:c>
      <x:c r="B102" s="31" t="str">
        <x:v>PROC.supplierUsesContact</x:v>
      </x:c>
      <x:c r="C102" s="31" t="str">
        <x:v>SUP-C006</x:v>
      </x:c>
      <x:c r="D102" s="31" t="str">
        <x:v>CONTACT-004-SHARED</x:v>
      </x:c>
      <x:c r="E102" s="31" t="str">
        <x:v>CASE-004</x:v>
      </x:c>
      <x:c r="F102" s="31" t="str">
        <x:v>SupplierMDM</x:v>
      </x:c>
      <x:c r="G102" s="31" t="str">
        <x:v>SUP-C006</x:v>
      </x:c>
      <x:c r="H102" s="31" t="str">
        <x:v>EVI-004-02</x:v>
      </x:c>
      <x:c r="I102" s="72" t="n">
        <x:v>1</x:v>
      </x:c>
      <x:c r="J102" s="69" t="n">
        <x:v>46023</x:v>
      </x:c>
      <x:c r="K102" s="69"/>
      <x:c r="L102" s="31" t="str">
        <x:v>{}</x:v>
      </x:c>
    </x:row>
    <x:row r="103">
      <x:c r="A103" s="31" t="str">
        <x:v>REL-0099</x:v>
      </x:c>
      <x:c r="B103" s="31" t="str">
        <x:v>PROC.supplierRegisteredAtAddress</x:v>
      </x:c>
      <x:c r="C103" s="31" t="str">
        <x:v>SUP-C006</x:v>
      </x:c>
      <x:c r="D103" s="31" t="str">
        <x:v>ADDR-004-SHARED</x:v>
      </x:c>
      <x:c r="E103" s="31" t="str">
        <x:v>CASE-004</x:v>
      </x:c>
      <x:c r="F103" s="31" t="str">
        <x:v>ExternalCorp</x:v>
      </x:c>
      <x:c r="G103" s="31" t="str">
        <x:v>SUP-C006</x:v>
      </x:c>
      <x:c r="H103" s="31" t="str">
        <x:v>EVI-004-03</x:v>
      </x:c>
      <x:c r="I103" s="72" t="n">
        <x:v>0.96</x:v>
      </x:c>
      <x:c r="J103" s="69" t="n">
        <x:v>46023</x:v>
      </x:c>
      <x:c r="K103" s="69"/>
      <x:c r="L103" s="31" t="str">
        <x:v>{}</x:v>
      </x:c>
    </x:row>
    <x:row r="104">
      <x:c r="A104" s="31" t="str">
        <x:v>REL-0100</x:v>
      </x:c>
      <x:c r="B104" s="31" t="str">
        <x:v>PROC.supplierUsesAccount</x:v>
      </x:c>
      <x:c r="C104" s="31" t="str">
        <x:v>SUP-C006</x:v>
      </x:c>
      <x:c r="D104" s="31" t="str">
        <x:v>BA-GUAR-001</x:v>
      </x:c>
      <x:c r="E104" s="31" t="str">
        <x:v>CASE-004</x:v>
      </x:c>
      <x:c r="F104" s="31" t="str">
        <x:v>Treasury</x:v>
      </x:c>
      <x:c r="G104" s="31" t="str">
        <x:v>SUP-C006</x:v>
      </x:c>
      <x:c r="H104" s="31" t="str">
        <x:v>EVI-004-06</x:v>
      </x:c>
      <x:c r="I104" s="72" t="n">
        <x:v>0.95</x:v>
      </x:c>
      <x:c r="J104" s="69" t="n">
        <x:v>46162</x:v>
      </x:c>
      <x:c r="K104" s="69" t="n">
        <x:v>46178</x:v>
      </x:c>
      <x:c r="L104" s="31" t="str">
        <x:v>{"use":"投标保证金"}</x:v>
      </x:c>
    </x:row>
    <x:row r="105">
      <x:c r="A105" s="31" t="str">
        <x:v>REL-0101</x:v>
      </x:c>
      <x:c r="B105" s="31" t="str">
        <x:v>PROC.personControlsSupplier</x:v>
      </x:c>
      <x:c r="C105" s="31" t="str">
        <x:v>PER-CTRL-001</x:v>
      </x:c>
      <x:c r="D105" s="31" t="str">
        <x:v>SUP-C007</x:v>
      </x:c>
      <x:c r="E105" s="31" t="str">
        <x:v>CASE-004</x:v>
      </x:c>
      <x:c r="F105" s="31" t="str">
        <x:v>ExternalCorp</x:v>
      </x:c>
      <x:c r="G105" s="31" t="str">
        <x:v>SUP-C007</x:v>
      </x:c>
      <x:c r="H105" s="31" t="str">
        <x:v>EVI-004-01</x:v>
      </x:c>
      <x:c r="I105" s="72" t="n">
        <x:v>0.97</x:v>
      </x:c>
      <x:c r="J105" s="69" t="n">
        <x:v>46023</x:v>
      </x:c>
      <x:c r="K105" s="69"/>
      <x:c r="L105" s="31" t="str">
        <x:v>{}</x:v>
      </x:c>
    </x:row>
    <x:row r="106">
      <x:c r="A106" s="31" t="str">
        <x:v>REL-0102</x:v>
      </x:c>
      <x:c r="B106" s="31" t="str">
        <x:v>PROC.supplierUsesContact</x:v>
      </x:c>
      <x:c r="C106" s="31" t="str">
        <x:v>SUP-C007</x:v>
      </x:c>
      <x:c r="D106" s="31" t="str">
        <x:v>CONTACT-004-SHARED</x:v>
      </x:c>
      <x:c r="E106" s="31" t="str">
        <x:v>CASE-004</x:v>
      </x:c>
      <x:c r="F106" s="31" t="str">
        <x:v>SupplierMDM</x:v>
      </x:c>
      <x:c r="G106" s="31" t="str">
        <x:v>SUP-C007</x:v>
      </x:c>
      <x:c r="H106" s="31" t="str">
        <x:v>EVI-004-02</x:v>
      </x:c>
      <x:c r="I106" s="72" t="n">
        <x:v>1</x:v>
      </x:c>
      <x:c r="J106" s="69" t="n">
        <x:v>46023</x:v>
      </x:c>
      <x:c r="K106" s="69"/>
      <x:c r="L106" s="31" t="str">
        <x:v>{}</x:v>
      </x:c>
    </x:row>
    <x:row r="107">
      <x:c r="A107" s="31" t="str">
        <x:v>REL-0103</x:v>
      </x:c>
      <x:c r="B107" s="31" t="str">
        <x:v>PROC.supplierRegisteredAtAddress</x:v>
      </x:c>
      <x:c r="C107" s="31" t="str">
        <x:v>SUP-C007</x:v>
      </x:c>
      <x:c r="D107" s="31" t="str">
        <x:v>ADDR-004-SHARED</x:v>
      </x:c>
      <x:c r="E107" s="31" t="str">
        <x:v>CASE-004</x:v>
      </x:c>
      <x:c r="F107" s="31" t="str">
        <x:v>ExternalCorp</x:v>
      </x:c>
      <x:c r="G107" s="31" t="str">
        <x:v>SUP-C007</x:v>
      </x:c>
      <x:c r="H107" s="31" t="str">
        <x:v>EVI-004-03</x:v>
      </x:c>
      <x:c r="I107" s="72" t="n">
        <x:v>0.96</x:v>
      </x:c>
      <x:c r="J107" s="69" t="n">
        <x:v>46023</x:v>
      </x:c>
      <x:c r="K107" s="69"/>
      <x:c r="L107" s="31" t="str">
        <x:v>{}</x:v>
      </x:c>
    </x:row>
    <x:row r="108">
      <x:c r="A108" s="31" t="str">
        <x:v>REL-0104</x:v>
      </x:c>
      <x:c r="B108" s="31" t="str">
        <x:v>PROC.supplierUsesAccount</x:v>
      </x:c>
      <x:c r="C108" s="31" t="str">
        <x:v>SUP-C007</x:v>
      </x:c>
      <x:c r="D108" s="31" t="str">
        <x:v>BA-GUAR-001</x:v>
      </x:c>
      <x:c r="E108" s="31" t="str">
        <x:v>CASE-004</x:v>
      </x:c>
      <x:c r="F108" s="31" t="str">
        <x:v>Treasury</x:v>
      </x:c>
      <x:c r="G108" s="31" t="str">
        <x:v>SUP-C007</x:v>
      </x:c>
      <x:c r="H108" s="31" t="str">
        <x:v>EVI-004-06</x:v>
      </x:c>
      <x:c r="I108" s="72" t="n">
        <x:v>0.95</x:v>
      </x:c>
      <x:c r="J108" s="69" t="n">
        <x:v>46162</x:v>
      </x:c>
      <x:c r="K108" s="69" t="n">
        <x:v>46178</x:v>
      </x:c>
      <x:c r="L108" s="31" t="str">
        <x:v>{"use":"投标保证金"}</x:v>
      </x:c>
    </x:row>
    <x:row r="109">
      <x:c r="A109" s="31" t="str">
        <x:v>REL-0105</x:v>
      </x:c>
      <x:c r="B109" s="31" t="str">
        <x:v>PROC.personControlsSupplier</x:v>
      </x:c>
      <x:c r="C109" s="31" t="str">
        <x:v>PER-CTRL-001</x:v>
      </x:c>
      <x:c r="D109" s="31" t="str">
        <x:v>SUP-C008</x:v>
      </x:c>
      <x:c r="E109" s="31" t="str">
        <x:v>CASE-004</x:v>
      </x:c>
      <x:c r="F109" s="31" t="str">
        <x:v>ExternalCorp</x:v>
      </x:c>
      <x:c r="G109" s="31" t="str">
        <x:v>SUP-C008</x:v>
      </x:c>
      <x:c r="H109" s="31" t="str">
        <x:v>EVI-004-01</x:v>
      </x:c>
      <x:c r="I109" s="72" t="n">
        <x:v>0.97</x:v>
      </x:c>
      <x:c r="J109" s="69" t="n">
        <x:v>46023</x:v>
      </x:c>
      <x:c r="K109" s="69"/>
      <x:c r="L109" s="31" t="str">
        <x:v>{}</x:v>
      </x:c>
    </x:row>
    <x:row r="110">
      <x:c r="A110" s="31" t="str">
        <x:v>REL-0106</x:v>
      </x:c>
      <x:c r="B110" s="31" t="str">
        <x:v>PROC.supplierUsesContact</x:v>
      </x:c>
      <x:c r="C110" s="31" t="str">
        <x:v>SUP-C008</x:v>
      </x:c>
      <x:c r="D110" s="31" t="str">
        <x:v>CONTACT-004-SHARED</x:v>
      </x:c>
      <x:c r="E110" s="31" t="str">
        <x:v>CASE-004</x:v>
      </x:c>
      <x:c r="F110" s="31" t="str">
        <x:v>SupplierMDM</x:v>
      </x:c>
      <x:c r="G110" s="31" t="str">
        <x:v>SUP-C008</x:v>
      </x:c>
      <x:c r="H110" s="31" t="str">
        <x:v>EVI-004-02</x:v>
      </x:c>
      <x:c r="I110" s="72" t="n">
        <x:v>1</x:v>
      </x:c>
      <x:c r="J110" s="69" t="n">
        <x:v>46023</x:v>
      </x:c>
      <x:c r="K110" s="69"/>
      <x:c r="L110" s="31" t="str">
        <x:v>{}</x:v>
      </x:c>
    </x:row>
    <x:row r="111">
      <x:c r="A111" s="31" t="str">
        <x:v>REL-0107</x:v>
      </x:c>
      <x:c r="B111" s="31" t="str">
        <x:v>PROC.supplierRegisteredAtAddress</x:v>
      </x:c>
      <x:c r="C111" s="31" t="str">
        <x:v>SUP-C008</x:v>
      </x:c>
      <x:c r="D111" s="31" t="str">
        <x:v>ADDR-004-SHARED</x:v>
      </x:c>
      <x:c r="E111" s="31" t="str">
        <x:v>CASE-004</x:v>
      </x:c>
      <x:c r="F111" s="31" t="str">
        <x:v>ExternalCorp</x:v>
      </x:c>
      <x:c r="G111" s="31" t="str">
        <x:v>SUP-C008</x:v>
      </x:c>
      <x:c r="H111" s="31" t="str">
        <x:v>EVI-004-03</x:v>
      </x:c>
      <x:c r="I111" s="72" t="n">
        <x:v>0.96</x:v>
      </x:c>
      <x:c r="J111" s="69" t="n">
        <x:v>46023</x:v>
      </x:c>
      <x:c r="K111" s="69"/>
      <x:c r="L111" s="31" t="str">
        <x:v>{}</x:v>
      </x:c>
    </x:row>
    <x:row r="112">
      <x:c r="A112" s="31" t="str">
        <x:v>REL-0108</x:v>
      </x:c>
      <x:c r="B112" s="31" t="str">
        <x:v>PROC.supplierUsesAccount</x:v>
      </x:c>
      <x:c r="C112" s="31" t="str">
        <x:v>SUP-C008</x:v>
      </x:c>
      <x:c r="D112" s="31" t="str">
        <x:v>BA-GUAR-001</x:v>
      </x:c>
      <x:c r="E112" s="31" t="str">
        <x:v>CASE-004</x:v>
      </x:c>
      <x:c r="F112" s="31" t="str">
        <x:v>Treasury</x:v>
      </x:c>
      <x:c r="G112" s="31" t="str">
        <x:v>SUP-C008</x:v>
      </x:c>
      <x:c r="H112" s="31" t="str">
        <x:v>EVI-004-06</x:v>
      </x:c>
      <x:c r="I112" s="72" t="n">
        <x:v>0.95</x:v>
      </x:c>
      <x:c r="J112" s="69" t="n">
        <x:v>46162</x:v>
      </x:c>
      <x:c r="K112" s="69" t="n">
        <x:v>46178</x:v>
      </x:c>
      <x:c r="L112" s="31" t="str">
        <x:v>{"use":"投标保证金"}</x:v>
      </x:c>
    </x:row>
    <x:row r="113">
      <x:c r="A113" s="31" t="str">
        <x:v>REL-0109</x:v>
      </x:c>
      <x:c r="B113" s="31" t="str">
        <x:v>PROC.personWorksForSupplier</x:v>
      </x:c>
      <x:c r="C113" s="31" t="str">
        <x:v>PER-SUP-001</x:v>
      </x:c>
      <x:c r="D113" s="31" t="str">
        <x:v>SUP-C003</x:v>
      </x:c>
      <x:c r="E113" s="31" t="str">
        <x:v>CASE-003</x:v>
      </x:c>
      <x:c r="F113" s="31" t="str">
        <x:v>ExternalCorp</x:v>
      </x:c>
      <x:c r="G113" s="31" t="str">
        <x:v>PER-SUP-001-SUP-C003</x:v>
      </x:c>
      <x:c r="H113" s="31" t="str">
        <x:v>EVI-003-03</x:v>
      </x:c>
      <x:c r="I113" s="72" t="n">
        <x:v>0.94</x:v>
      </x:c>
      <x:c r="J113" s="69" t="n">
        <x:v>46023</x:v>
      </x:c>
      <x:c r="K113" s="69"/>
      <x:c r="L113" s="31" t="str">
        <x:v>{}</x:v>
      </x:c>
    </x:row>
    <x:row r="114">
      <x:c r="A114" s="31" t="str">
        <x:v>REL-0110</x:v>
      </x:c>
      <x:c r="B114" s="31" t="str">
        <x:v>PROC.personWorksForSupplier</x:v>
      </x:c>
      <x:c r="C114" s="31" t="str">
        <x:v>PER-SUP-001</x:v>
      </x:c>
      <x:c r="D114" s="31" t="str">
        <x:v>SUP-C004</x:v>
      </x:c>
      <x:c r="E114" s="31" t="str">
        <x:v>CASE-003</x:v>
      </x:c>
      <x:c r="F114" s="31" t="str">
        <x:v>ExternalCorp</x:v>
      </x:c>
      <x:c r="G114" s="31" t="str">
        <x:v>PER-SUP-001-SUP-C004</x:v>
      </x:c>
      <x:c r="H114" s="31" t="str">
        <x:v>EVI-003-03</x:v>
      </x:c>
      <x:c r="I114" s="72" t="n">
        <x:v>0.89</x:v>
      </x:c>
      <x:c r="J114" s="69" t="n">
        <x:v>46023</x:v>
      </x:c>
      <x:c r="K114" s="69"/>
      <x:c r="L114" s="31" t="str">
        <x:v>{}</x:v>
      </x:c>
    </x:row>
    <x:row r="115">
      <x:c r="A115" s="31" t="str">
        <x:v>REL-0111</x:v>
      </x:c>
      <x:c r="B115" s="31" t="str">
        <x:v>PROC.personWorksForSupplier</x:v>
      </x:c>
      <x:c r="C115" s="31" t="str">
        <x:v>PER-SUP-001</x:v>
      </x:c>
      <x:c r="D115" s="31" t="str">
        <x:v>SUP-C005</x:v>
      </x:c>
      <x:c r="E115" s="31" t="str">
        <x:v>CASE-003</x:v>
      </x:c>
      <x:c r="F115" s="31" t="str">
        <x:v>ExternalCorp</x:v>
      </x:c>
      <x:c r="G115" s="31" t="str">
        <x:v>PER-SUP-001-SUP-C005</x:v>
      </x:c>
      <x:c r="H115" s="31" t="str">
        <x:v>EVI-003-03</x:v>
      </x:c>
      <x:c r="I115" s="72" t="n">
        <x:v>0.88</x:v>
      </x:c>
      <x:c r="J115" s="69" t="n">
        <x:v>46023</x:v>
      </x:c>
      <x:c r="K115" s="69"/>
      <x:c r="L115" s="31" t="str">
        <x:v>{}</x:v>
      </x:c>
    </x:row>
    <x:row r="116">
      <x:c r="A116" s="31" t="str">
        <x:v>REL-0112</x:v>
      </x:c>
      <x:c r="B116" s="31" t="str">
        <x:v>PROC.reviewerMemberOfPanel</x:v>
      </x:c>
      <x:c r="C116" s="31" t="str">
        <x:v>PER-REV-001</x:v>
      </x:c>
      <x:c r="D116" s="31" t="str">
        <x:v>PANEL-003</x:v>
      </x:c>
      <x:c r="E116" s="31" t="str">
        <x:v>CASE-003</x:v>
      </x:c>
      <x:c r="F116" s="31" t="str">
        <x:v>EProcurement</x:v>
      </x:c>
      <x:c r="G116" s="31" t="str">
        <x:v>PANEL-003</x:v>
      </x:c>
      <x:c r="H116" s="31" t="str"/>
      <x:c r="I116" s="72" t="n">
        <x:v>1</x:v>
      </x:c>
      <x:c r="J116" s="69" t="n">
        <x:v>46023</x:v>
      </x:c>
      <x:c r="K116" s="69"/>
      <x:c r="L116" s="31" t="str">
        <x:v>{}</x:v>
      </x:c>
    </x:row>
    <x:row r="117">
      <x:c r="A117" s="31" t="str">
        <x:v>REL-0113</x:v>
      </x:c>
      <x:c r="B117" s="31" t="str">
        <x:v>PROC.reviewerMemberOfPanel</x:v>
      </x:c>
      <x:c r="C117" s="31" t="str">
        <x:v>PER-REV-001</x:v>
      </x:c>
      <x:c r="D117" s="31" t="str">
        <x:v>PANEL-004</x:v>
      </x:c>
      <x:c r="E117" s="31" t="str">
        <x:v>CASE-004</x:v>
      </x:c>
      <x:c r="F117" s="31" t="str">
        <x:v>EProcurement</x:v>
      </x:c>
      <x:c r="G117" s="31" t="str">
        <x:v>PANEL-004</x:v>
      </x:c>
      <x:c r="H117" s="31" t="str"/>
      <x:c r="I117" s="72" t="n">
        <x:v>1</x:v>
      </x:c>
      <x:c r="J117" s="69" t="n">
        <x:v>46023</x:v>
      </x:c>
      <x:c r="K117" s="69"/>
      <x:c r="L117" s="31" t="str">
        <x:v>{}</x:v>
      </x:c>
    </x:row>
    <x:row r="118">
      <x:c r="A118" s="31" t="str">
        <x:v>REL-0114</x:v>
      </x:c>
      <x:c r="B118" s="31" t="str">
        <x:v>PROC.reviewerMemberOfPanel</x:v>
      </x:c>
      <x:c r="C118" s="31" t="str">
        <x:v>PER-REV-002</x:v>
      </x:c>
      <x:c r="D118" s="31" t="str">
        <x:v>PANEL-005</x:v>
      </x:c>
      <x:c r="E118" s="31" t="str">
        <x:v>CASE-005</x:v>
      </x:c>
      <x:c r="F118" s="31" t="str">
        <x:v>EProcurement</x:v>
      </x:c>
      <x:c r="G118" s="31" t="str">
        <x:v>PANEL-005</x:v>
      </x:c>
      <x:c r="H118" s="31" t="str"/>
      <x:c r="I118" s="72" t="n">
        <x:v>1</x:v>
      </x:c>
      <x:c r="J118" s="69" t="n">
        <x:v>46023</x:v>
      </x:c>
      <x:c r="K118" s="69"/>
      <x:c r="L118" s="31" t="str">
        <x:v>{}</x:v>
      </x:c>
    </x:row>
    <x:row r="119">
      <x:c r="A119" s="31" t="str">
        <x:v>REL-0115</x:v>
      </x:c>
      <x:c r="B119" s="31" t="str">
        <x:v>PROC.reviewerMemberOfPanel</x:v>
      </x:c>
      <x:c r="C119" s="31" t="str">
        <x:v>PER-REV-001</x:v>
      </x:c>
      <x:c r="D119" s="31" t="str">
        <x:v>PANEL-008</x:v>
      </x:c>
      <x:c r="E119" s="31" t="str">
        <x:v>CASE-008</x:v>
      </x:c>
      <x:c r="F119" s="31" t="str">
        <x:v>EProcurement</x:v>
      </x:c>
      <x:c r="G119" s="31" t="str">
        <x:v>PANEL-008</x:v>
      </x:c>
      <x:c r="H119" s="31" t="str"/>
      <x:c r="I119" s="72" t="n">
        <x:v>1</x:v>
      </x:c>
      <x:c r="J119" s="69" t="n">
        <x:v>46023</x:v>
      </x:c>
      <x:c r="K119" s="69"/>
      <x:c r="L119" s="31" t="str">
        <x:v>{}</x:v>
      </x:c>
    </x:row>
    <x:row r="120">
      <x:c r="A120" s="31" t="str">
        <x:v>REL-0116</x:v>
      </x:c>
      <x:c r="B120" s="31" t="str">
        <x:v>PROC.panelReviewsProject</x:v>
      </x:c>
      <x:c r="C120" s="31" t="str">
        <x:v>PANEL-003</x:v>
      </x:c>
      <x:c r="D120" s="31" t="str">
        <x:v>PRJ-003</x:v>
      </x:c>
      <x:c r="E120" s="31" t="str">
        <x:v>CASE-003</x:v>
      </x:c>
      <x:c r="F120" s="31" t="str">
        <x:v>EProcurement</x:v>
      </x:c>
      <x:c r="G120" s="31" t="str">
        <x:v>PANEL-003</x:v>
      </x:c>
      <x:c r="H120" s="31" t="str"/>
      <x:c r="I120" s="72" t="n">
        <x:v>1</x:v>
      </x:c>
      <x:c r="J120" s="69" t="n">
        <x:v>46023</x:v>
      </x:c>
      <x:c r="K120" s="69"/>
      <x:c r="L120" s="31" t="str">
        <x:v>{}</x:v>
      </x:c>
    </x:row>
    <x:row r="121">
      <x:c r="A121" s="31" t="str">
        <x:v>REL-0117</x:v>
      </x:c>
      <x:c r="B121" s="31" t="str">
        <x:v>PROC.panelReviewsProject</x:v>
      </x:c>
      <x:c r="C121" s="31" t="str">
        <x:v>PANEL-004</x:v>
      </x:c>
      <x:c r="D121" s="31" t="str">
        <x:v>PRJ-004</x:v>
      </x:c>
      <x:c r="E121" s="31" t="str">
        <x:v>CASE-004</x:v>
      </x:c>
      <x:c r="F121" s="31" t="str">
        <x:v>EProcurement</x:v>
      </x:c>
      <x:c r="G121" s="31" t="str">
        <x:v>PANEL-004</x:v>
      </x:c>
      <x:c r="H121" s="31" t="str"/>
      <x:c r="I121" s="72" t="n">
        <x:v>1</x:v>
      </x:c>
      <x:c r="J121" s="69" t="n">
        <x:v>46023</x:v>
      </x:c>
      <x:c r="K121" s="69"/>
      <x:c r="L121" s="31" t="str">
        <x:v>{}</x:v>
      </x:c>
    </x:row>
    <x:row r="122">
      <x:c r="A122" s="31" t="str">
        <x:v>REL-0118</x:v>
      </x:c>
      <x:c r="B122" s="31" t="str">
        <x:v>PROC.panelReviewsProject</x:v>
      </x:c>
      <x:c r="C122" s="31" t="str">
        <x:v>PANEL-005</x:v>
      </x:c>
      <x:c r="D122" s="31" t="str">
        <x:v>PRJ-005</x:v>
      </x:c>
      <x:c r="E122" s="31" t="str">
        <x:v>CASE-005</x:v>
      </x:c>
      <x:c r="F122" s="31" t="str">
        <x:v>EProcurement</x:v>
      </x:c>
      <x:c r="G122" s="31" t="str">
        <x:v>PANEL-005</x:v>
      </x:c>
      <x:c r="H122" s="31" t="str"/>
      <x:c r="I122" s="72" t="n">
        <x:v>1</x:v>
      </x:c>
      <x:c r="J122" s="69" t="n">
        <x:v>46023</x:v>
      </x:c>
      <x:c r="K122" s="69"/>
      <x:c r="L122" s="31" t="str">
        <x:v>{}</x:v>
      </x:c>
    </x:row>
    <x:row r="123">
      <x:c r="A123" s="31" t="str">
        <x:v>REL-0119</x:v>
      </x:c>
      <x:c r="B123" s="31" t="str">
        <x:v>PROC.panelReviewsProject</x:v>
      </x:c>
      <x:c r="C123" s="31" t="str">
        <x:v>PANEL-008</x:v>
      </x:c>
      <x:c r="D123" s="31" t="str">
        <x:v>PRJ-008</x:v>
      </x:c>
      <x:c r="E123" s="31" t="str">
        <x:v>CASE-008</x:v>
      </x:c>
      <x:c r="F123" s="31" t="str">
        <x:v>EProcurement</x:v>
      </x:c>
      <x:c r="G123" s="31" t="str">
        <x:v>PANEL-008</x:v>
      </x:c>
      <x:c r="H123" s="31" t="str"/>
      <x:c r="I123" s="72" t="n">
        <x:v>1</x:v>
      </x:c>
      <x:c r="J123" s="69" t="n">
        <x:v>46023</x:v>
      </x:c>
      <x:c r="K123" s="69"/>
      <x:c r="L123" s="31" t="str">
        <x:v>{}</x:v>
      </x:c>
    </x:row>
    <x:row r="124">
      <x:c r="A124" s="31" t="str">
        <x:v>REL-0120</x:v>
      </x:c>
      <x:c r="B124" s="31" t="str">
        <x:v>PROC.personWorksForSupplier</x:v>
      </x:c>
      <x:c r="C124" s="31" t="str">
        <x:v>PER-REV-002</x:v>
      </x:c>
      <x:c r="D124" s="31" t="str">
        <x:v>SUP-C009</x:v>
      </x:c>
      <x:c r="E124" s="31" t="str">
        <x:v>CASE-005</x:v>
      </x:c>
      <x:c r="F124" s="31" t="str">
        <x:v>ExternalCorp</x:v>
      </x:c>
      <x:c r="G124" s="31" t="str">
        <x:v>EMP-HIS-005</x:v>
      </x:c>
      <x:c r="H124" s="31" t="str">
        <x:v>EVI-005-04</x:v>
      </x:c>
      <x:c r="I124" s="72" t="n">
        <x:v>0.91</x:v>
      </x:c>
      <x:c r="J124" s="69" t="n">
        <x:v>43466</x:v>
      </x:c>
      <x:c r="K124" s="69" t="n">
        <x:v>45473</x:v>
      </x:c>
      <x:c r="L124" s="31" t="str">
        <x:v>{"employment_type":"历史任职"}</x:v>
      </x:c>
    </x:row>
    <x:row r="125">
      <x:c r="A125" s="31" t="str">
        <x:v>REL-0121</x:v>
      </x:c>
      <x:c r="B125" s="31" t="str">
        <x:v>PROC.projectHasAward</x:v>
      </x:c>
      <x:c r="C125" s="31" t="str">
        <x:v>PRJ-003</x:v>
      </x:c>
      <x:c r="D125" s="31" t="str">
        <x:v>AWD-003</x:v>
      </x:c>
      <x:c r="E125" s="31" t="str">
        <x:v>CASE-003</x:v>
      </x:c>
      <x:c r="F125" s="31" t="str">
        <x:v>EProcurement</x:v>
      </x:c>
      <x:c r="G125" s="31" t="str">
        <x:v>AWD-003</x:v>
      </x:c>
      <x:c r="H125" s="31" t="str"/>
      <x:c r="I125" s="72" t="n">
        <x:v>1</x:v>
      </x:c>
      <x:c r="J125" s="69" t="n">
        <x:v>46023</x:v>
      </x:c>
      <x:c r="K125" s="69"/>
      <x:c r="L125" s="31" t="str">
        <x:v>{}</x:v>
      </x:c>
    </x:row>
    <x:row r="126">
      <x:c r="A126" s="31" t="str">
        <x:v>REL-0122</x:v>
      </x:c>
      <x:c r="B126" s="31" t="str">
        <x:v>PROC.awardToSupplier</x:v>
      </x:c>
      <x:c r="C126" s="31" t="str">
        <x:v>AWD-003</x:v>
      </x:c>
      <x:c r="D126" s="31" t="str">
        <x:v>SUP-C003</x:v>
      </x:c>
      <x:c r="E126" s="31" t="str">
        <x:v>CASE-003</x:v>
      </x:c>
      <x:c r="F126" s="31" t="str">
        <x:v>EProcurement</x:v>
      </x:c>
      <x:c r="G126" s="31" t="str">
        <x:v>AWD-003</x:v>
      </x:c>
      <x:c r="H126" s="31" t="str"/>
      <x:c r="I126" s="72" t="n">
        <x:v>1</x:v>
      </x:c>
      <x:c r="J126" s="69" t="n">
        <x:v>46023</x:v>
      </x:c>
      <x:c r="K126" s="69"/>
      <x:c r="L126" s="31" t="str">
        <x:v>{}</x:v>
      </x:c>
    </x:row>
    <x:row r="127">
      <x:c r="A127" s="31" t="str">
        <x:v>REL-0123</x:v>
      </x:c>
      <x:c r="B127" s="31" t="str">
        <x:v>PROC.projectGeneratesContract</x:v>
      </x:c>
      <x:c r="C127" s="31" t="str">
        <x:v>PRJ-003</x:v>
      </x:c>
      <x:c r="D127" s="31" t="str">
        <x:v>CON-003</x:v>
      </x:c>
      <x:c r="E127" s="31" t="str">
        <x:v>CASE-003</x:v>
      </x:c>
      <x:c r="F127" s="31" t="str">
        <x:v>ContractSystem</x:v>
      </x:c>
      <x:c r="G127" s="31" t="str">
        <x:v>CON-003</x:v>
      </x:c>
      <x:c r="H127" s="31" t="str"/>
      <x:c r="I127" s="72" t="n">
        <x:v>1</x:v>
      </x:c>
      <x:c r="J127" s="69" t="n">
        <x:v>46023</x:v>
      </x:c>
      <x:c r="K127" s="69"/>
      <x:c r="L127" s="31" t="str">
        <x:v>{}</x:v>
      </x:c>
    </x:row>
    <x:row r="128">
      <x:c r="A128" s="31" t="str">
        <x:v>REL-0124</x:v>
      </x:c>
      <x:c r="B128" s="31" t="str">
        <x:v>PROC.contractWithSupplier</x:v>
      </x:c>
      <x:c r="C128" s="31" t="str">
        <x:v>CON-003</x:v>
      </x:c>
      <x:c r="D128" s="31" t="str">
        <x:v>SUP-C003</x:v>
      </x:c>
      <x:c r="E128" s="31" t="str">
        <x:v>CASE-003</x:v>
      </x:c>
      <x:c r="F128" s="31" t="str">
        <x:v>ContractSystem</x:v>
      </x:c>
      <x:c r="G128" s="31" t="str">
        <x:v>CON-003</x:v>
      </x:c>
      <x:c r="H128" s="31" t="str"/>
      <x:c r="I128" s="72" t="n">
        <x:v>1</x:v>
      </x:c>
      <x:c r="J128" s="69" t="n">
        <x:v>46023</x:v>
      </x:c>
      <x:c r="K128" s="69"/>
      <x:c r="L128" s="31" t="str">
        <x:v>{}</x:v>
      </x:c>
    </x:row>
    <x:row r="129">
      <x:c r="A129" s="31" t="str">
        <x:v>REL-0125</x:v>
      </x:c>
      <x:c r="B129" s="31" t="str">
        <x:v>PROC.projectHasAward</x:v>
      </x:c>
      <x:c r="C129" s="31" t="str">
        <x:v>PRJ-004</x:v>
      </x:c>
      <x:c r="D129" s="31" t="str">
        <x:v>AWD-004</x:v>
      </x:c>
      <x:c r="E129" s="31" t="str">
        <x:v>CASE-004</x:v>
      </x:c>
      <x:c r="F129" s="31" t="str">
        <x:v>EProcurement</x:v>
      </x:c>
      <x:c r="G129" s="31" t="str">
        <x:v>AWD-004</x:v>
      </x:c>
      <x:c r="H129" s="31" t="str"/>
      <x:c r="I129" s="72" t="n">
        <x:v>1</x:v>
      </x:c>
      <x:c r="J129" s="69" t="n">
        <x:v>46023</x:v>
      </x:c>
      <x:c r="K129" s="69"/>
      <x:c r="L129" s="31" t="str">
        <x:v>{}</x:v>
      </x:c>
    </x:row>
    <x:row r="130">
      <x:c r="A130" s="31" t="str">
        <x:v>REL-0126</x:v>
      </x:c>
      <x:c r="B130" s="31" t="str">
        <x:v>PROC.awardToSupplier</x:v>
      </x:c>
      <x:c r="C130" s="31" t="str">
        <x:v>AWD-004</x:v>
      </x:c>
      <x:c r="D130" s="31" t="str">
        <x:v>SUP-C006</x:v>
      </x:c>
      <x:c r="E130" s="31" t="str">
        <x:v>CASE-004</x:v>
      </x:c>
      <x:c r="F130" s="31" t="str">
        <x:v>EProcurement</x:v>
      </x:c>
      <x:c r="G130" s="31" t="str">
        <x:v>AWD-004</x:v>
      </x:c>
      <x:c r="H130" s="31" t="str"/>
      <x:c r="I130" s="72" t="n">
        <x:v>1</x:v>
      </x:c>
      <x:c r="J130" s="69" t="n">
        <x:v>46023</x:v>
      </x:c>
      <x:c r="K130" s="69"/>
      <x:c r="L130" s="31" t="str">
        <x:v>{}</x:v>
      </x:c>
    </x:row>
    <x:row r="131">
      <x:c r="A131" s="31" t="str">
        <x:v>REL-0127</x:v>
      </x:c>
      <x:c r="B131" s="31" t="str">
        <x:v>PROC.projectGeneratesContract</x:v>
      </x:c>
      <x:c r="C131" s="31" t="str">
        <x:v>PRJ-004</x:v>
      </x:c>
      <x:c r="D131" s="31" t="str">
        <x:v>CON-004</x:v>
      </x:c>
      <x:c r="E131" s="31" t="str">
        <x:v>CASE-004</x:v>
      </x:c>
      <x:c r="F131" s="31" t="str">
        <x:v>ContractSystem</x:v>
      </x:c>
      <x:c r="G131" s="31" t="str">
        <x:v>CON-004</x:v>
      </x:c>
      <x:c r="H131" s="31" t="str"/>
      <x:c r="I131" s="72" t="n">
        <x:v>1</x:v>
      </x:c>
      <x:c r="J131" s="69" t="n">
        <x:v>46023</x:v>
      </x:c>
      <x:c r="K131" s="69"/>
      <x:c r="L131" s="31" t="str">
        <x:v>{}</x:v>
      </x:c>
    </x:row>
    <x:row r="132">
      <x:c r="A132" s="31" t="str">
        <x:v>REL-0128</x:v>
      </x:c>
      <x:c r="B132" s="31" t="str">
        <x:v>PROC.contractWithSupplier</x:v>
      </x:c>
      <x:c r="C132" s="31" t="str">
        <x:v>CON-004</x:v>
      </x:c>
      <x:c r="D132" s="31" t="str">
        <x:v>SUP-C006</x:v>
      </x:c>
      <x:c r="E132" s="31" t="str">
        <x:v>CASE-004</x:v>
      </x:c>
      <x:c r="F132" s="31" t="str">
        <x:v>ContractSystem</x:v>
      </x:c>
      <x:c r="G132" s="31" t="str">
        <x:v>CON-004</x:v>
      </x:c>
      <x:c r="H132" s="31" t="str"/>
      <x:c r="I132" s="72" t="n">
        <x:v>1</x:v>
      </x:c>
      <x:c r="J132" s="69" t="n">
        <x:v>46023</x:v>
      </x:c>
      <x:c r="K132" s="69"/>
      <x:c r="L132" s="31" t="str">
        <x:v>{}</x:v>
      </x:c>
    </x:row>
    <x:row r="133">
      <x:c r="A133" s="31" t="str">
        <x:v>REL-0129</x:v>
      </x:c>
      <x:c r="B133" s="31" t="str">
        <x:v>PROC.projectHasAward</x:v>
      </x:c>
      <x:c r="C133" s="31" t="str">
        <x:v>PRJ-005</x:v>
      </x:c>
      <x:c r="D133" s="31" t="str">
        <x:v>AWD-005</x:v>
      </x:c>
      <x:c r="E133" s="31" t="str">
        <x:v>CASE-005</x:v>
      </x:c>
      <x:c r="F133" s="31" t="str">
        <x:v>EProcurement</x:v>
      </x:c>
      <x:c r="G133" s="31" t="str">
        <x:v>AWD-005</x:v>
      </x:c>
      <x:c r="H133" s="31" t="str"/>
      <x:c r="I133" s="72" t="n">
        <x:v>1</x:v>
      </x:c>
      <x:c r="J133" s="69" t="n">
        <x:v>46023</x:v>
      </x:c>
      <x:c r="K133" s="69"/>
      <x:c r="L133" s="31" t="str">
        <x:v>{}</x:v>
      </x:c>
    </x:row>
    <x:row r="134">
      <x:c r="A134" s="31" t="str">
        <x:v>REL-0130</x:v>
      </x:c>
      <x:c r="B134" s="31" t="str">
        <x:v>PROC.awardToSupplier</x:v>
      </x:c>
      <x:c r="C134" s="31" t="str">
        <x:v>AWD-005</x:v>
      </x:c>
      <x:c r="D134" s="31" t="str">
        <x:v>SUP-C009</x:v>
      </x:c>
      <x:c r="E134" s="31" t="str">
        <x:v>CASE-005</x:v>
      </x:c>
      <x:c r="F134" s="31" t="str">
        <x:v>EProcurement</x:v>
      </x:c>
      <x:c r="G134" s="31" t="str">
        <x:v>AWD-005</x:v>
      </x:c>
      <x:c r="H134" s="31" t="str"/>
      <x:c r="I134" s="72" t="n">
        <x:v>1</x:v>
      </x:c>
      <x:c r="J134" s="69" t="n">
        <x:v>46023</x:v>
      </x:c>
      <x:c r="K134" s="69"/>
      <x:c r="L134" s="31" t="str">
        <x:v>{}</x:v>
      </x:c>
    </x:row>
    <x:row r="135">
      <x:c r="A135" s="31" t="str">
        <x:v>REL-0131</x:v>
      </x:c>
      <x:c r="B135" s="31" t="str">
        <x:v>PROC.projectGeneratesContract</x:v>
      </x:c>
      <x:c r="C135" s="31" t="str">
        <x:v>PRJ-005</x:v>
      </x:c>
      <x:c r="D135" s="31" t="str">
        <x:v>CON-005</x:v>
      </x:c>
      <x:c r="E135" s="31" t="str">
        <x:v>CASE-005</x:v>
      </x:c>
      <x:c r="F135" s="31" t="str">
        <x:v>ContractSystem</x:v>
      </x:c>
      <x:c r="G135" s="31" t="str">
        <x:v>CON-005</x:v>
      </x:c>
      <x:c r="H135" s="31" t="str"/>
      <x:c r="I135" s="72" t="n">
        <x:v>1</x:v>
      </x:c>
      <x:c r="J135" s="69" t="n">
        <x:v>46023</x:v>
      </x:c>
      <x:c r="K135" s="69"/>
      <x:c r="L135" s="31" t="str">
        <x:v>{}</x:v>
      </x:c>
    </x:row>
    <x:row r="136">
      <x:c r="A136" s="31" t="str">
        <x:v>REL-0132</x:v>
      </x:c>
      <x:c r="B136" s="31" t="str">
        <x:v>PROC.contractWithSupplier</x:v>
      </x:c>
      <x:c r="C136" s="31" t="str">
        <x:v>CON-005</x:v>
      </x:c>
      <x:c r="D136" s="31" t="str">
        <x:v>SUP-C009</x:v>
      </x:c>
      <x:c r="E136" s="31" t="str">
        <x:v>CASE-005</x:v>
      </x:c>
      <x:c r="F136" s="31" t="str">
        <x:v>ContractSystem</x:v>
      </x:c>
      <x:c r="G136" s="31" t="str">
        <x:v>CON-005</x:v>
      </x:c>
      <x:c r="H136" s="31" t="str"/>
      <x:c r="I136" s="72" t="n">
        <x:v>1</x:v>
      </x:c>
      <x:c r="J136" s="69" t="n">
        <x:v>46023</x:v>
      </x:c>
      <x:c r="K136" s="69"/>
      <x:c r="L136" s="31" t="str">
        <x:v>{}</x:v>
      </x:c>
    </x:row>
    <x:row r="137">
      <x:c r="A137" s="31" t="str">
        <x:v>REL-0133</x:v>
      </x:c>
      <x:c r="B137" s="31" t="str">
        <x:v>PROC.projectHasAward</x:v>
      </x:c>
      <x:c r="C137" s="31" t="str">
        <x:v>PRJ-007</x:v>
      </x:c>
      <x:c r="D137" s="31" t="str">
        <x:v>AWD-007</x:v>
      </x:c>
      <x:c r="E137" s="31" t="str">
        <x:v>CASE-007</x:v>
      </x:c>
      <x:c r="F137" s="31" t="str">
        <x:v>EProcurement</x:v>
      </x:c>
      <x:c r="G137" s="31" t="str">
        <x:v>AWD-007</x:v>
      </x:c>
      <x:c r="H137" s="31" t="str"/>
      <x:c r="I137" s="72" t="n">
        <x:v>1</x:v>
      </x:c>
      <x:c r="J137" s="69" t="n">
        <x:v>46023</x:v>
      </x:c>
      <x:c r="K137" s="69"/>
      <x:c r="L137" s="31" t="str">
        <x:v>{}</x:v>
      </x:c>
    </x:row>
    <x:row r="138">
      <x:c r="A138" s="31" t="str">
        <x:v>REL-0134</x:v>
      </x:c>
      <x:c r="B138" s="31" t="str">
        <x:v>PROC.awardToSupplier</x:v>
      </x:c>
      <x:c r="C138" s="31" t="str">
        <x:v>AWD-007</x:v>
      </x:c>
      <x:c r="D138" s="31" t="str">
        <x:v>SUP-C011</x:v>
      </x:c>
      <x:c r="E138" s="31" t="str">
        <x:v>CASE-007</x:v>
      </x:c>
      <x:c r="F138" s="31" t="str">
        <x:v>EProcurement</x:v>
      </x:c>
      <x:c r="G138" s="31" t="str">
        <x:v>AWD-007</x:v>
      </x:c>
      <x:c r="H138" s="31" t="str"/>
      <x:c r="I138" s="72" t="n">
        <x:v>1</x:v>
      </x:c>
      <x:c r="J138" s="69" t="n">
        <x:v>46023</x:v>
      </x:c>
      <x:c r="K138" s="69"/>
      <x:c r="L138" s="31" t="str">
        <x:v>{}</x:v>
      </x:c>
    </x:row>
    <x:row r="139">
      <x:c r="A139" s="31" t="str">
        <x:v>REL-0135</x:v>
      </x:c>
      <x:c r="B139" s="31" t="str">
        <x:v>PROC.projectGeneratesContract</x:v>
      </x:c>
      <x:c r="C139" s="31" t="str">
        <x:v>PRJ-007</x:v>
      </x:c>
      <x:c r="D139" s="31" t="str">
        <x:v>CON-007</x:v>
      </x:c>
      <x:c r="E139" s="31" t="str">
        <x:v>CASE-007</x:v>
      </x:c>
      <x:c r="F139" s="31" t="str">
        <x:v>ContractSystem</x:v>
      </x:c>
      <x:c r="G139" s="31" t="str">
        <x:v>CON-007</x:v>
      </x:c>
      <x:c r="H139" s="31" t="str"/>
      <x:c r="I139" s="72" t="n">
        <x:v>1</x:v>
      </x:c>
      <x:c r="J139" s="69" t="n">
        <x:v>46023</x:v>
      </x:c>
      <x:c r="K139" s="69"/>
      <x:c r="L139" s="31" t="str">
        <x:v>{}</x:v>
      </x:c>
    </x:row>
    <x:row r="140">
      <x:c r="A140" s="31" t="str">
        <x:v>REL-0136</x:v>
      </x:c>
      <x:c r="B140" s="31" t="str">
        <x:v>PROC.contractWithSupplier</x:v>
      </x:c>
      <x:c r="C140" s="31" t="str">
        <x:v>CON-007</x:v>
      </x:c>
      <x:c r="D140" s="31" t="str">
        <x:v>SUP-C011</x:v>
      </x:c>
      <x:c r="E140" s="31" t="str">
        <x:v>CASE-007</x:v>
      </x:c>
      <x:c r="F140" s="31" t="str">
        <x:v>ContractSystem</x:v>
      </x:c>
      <x:c r="G140" s="31" t="str">
        <x:v>CON-007</x:v>
      </x:c>
      <x:c r="H140" s="31" t="str"/>
      <x:c r="I140" s="72" t="n">
        <x:v>1</x:v>
      </x:c>
      <x:c r="J140" s="69" t="n">
        <x:v>46023</x:v>
      </x:c>
      <x:c r="K140" s="69"/>
      <x:c r="L140" s="31" t="str">
        <x:v>{}</x:v>
      </x:c>
    </x:row>
    <x:row r="141">
      <x:c r="A141" s="31" t="str">
        <x:v>REL-0137</x:v>
      </x:c>
      <x:c r="B141" s="31" t="str">
        <x:v>PROC.projectHasAward</x:v>
      </x:c>
      <x:c r="C141" s="31" t="str">
        <x:v>PRJ-008</x:v>
      </x:c>
      <x:c r="D141" s="31" t="str">
        <x:v>AWD-008</x:v>
      </x:c>
      <x:c r="E141" s="31" t="str">
        <x:v>CASE-008</x:v>
      </x:c>
      <x:c r="F141" s="31" t="str">
        <x:v>EProcurement</x:v>
      </x:c>
      <x:c r="G141" s="31" t="str">
        <x:v>AWD-008</x:v>
      </x:c>
      <x:c r="H141" s="31" t="str"/>
      <x:c r="I141" s="72" t="n">
        <x:v>1</x:v>
      </x:c>
      <x:c r="J141" s="69" t="n">
        <x:v>46023</x:v>
      </x:c>
      <x:c r="K141" s="69"/>
      <x:c r="L141" s="31" t="str">
        <x:v>{}</x:v>
      </x:c>
    </x:row>
    <x:row r="142">
      <x:c r="A142" s="31" t="str">
        <x:v>REL-0138</x:v>
      </x:c>
      <x:c r="B142" s="31" t="str">
        <x:v>PROC.awardToSupplier</x:v>
      </x:c>
      <x:c r="C142" s="31" t="str">
        <x:v>AWD-008</x:v>
      </x:c>
      <x:c r="D142" s="31" t="str">
        <x:v>SUP-C012</x:v>
      </x:c>
      <x:c r="E142" s="31" t="str">
        <x:v>CASE-008</x:v>
      </x:c>
      <x:c r="F142" s="31" t="str">
        <x:v>EProcurement</x:v>
      </x:c>
      <x:c r="G142" s="31" t="str">
        <x:v>AWD-008</x:v>
      </x:c>
      <x:c r="H142" s="31" t="str"/>
      <x:c r="I142" s="72" t="n">
        <x:v>1</x:v>
      </x:c>
      <x:c r="J142" s="69" t="n">
        <x:v>46023</x:v>
      </x:c>
      <x:c r="K142" s="69"/>
      <x:c r="L142" s="31" t="str">
        <x:v>{}</x:v>
      </x:c>
    </x:row>
    <x:row r="143">
      <x:c r="A143" s="31" t="str">
        <x:v>REL-0139</x:v>
      </x:c>
      <x:c r="B143" s="31" t="str">
        <x:v>PROC.projectGeneratesContract</x:v>
      </x:c>
      <x:c r="C143" s="31" t="str">
        <x:v>PRJ-008</x:v>
      </x:c>
      <x:c r="D143" s="31" t="str">
        <x:v>CON-008</x:v>
      </x:c>
      <x:c r="E143" s="31" t="str">
        <x:v>CASE-008</x:v>
      </x:c>
      <x:c r="F143" s="31" t="str">
        <x:v>ContractSystem</x:v>
      </x:c>
      <x:c r="G143" s="31" t="str">
        <x:v>CON-008</x:v>
      </x:c>
      <x:c r="H143" s="31" t="str"/>
      <x:c r="I143" s="72" t="n">
        <x:v>1</x:v>
      </x:c>
      <x:c r="J143" s="69" t="n">
        <x:v>46023</x:v>
      </x:c>
      <x:c r="K143" s="69"/>
      <x:c r="L143" s="31" t="str">
        <x:v>{}</x:v>
      </x:c>
    </x:row>
    <x:row r="144">
      <x:c r="A144" s="31" t="str">
        <x:v>REL-0140</x:v>
      </x:c>
      <x:c r="B144" s="31" t="str">
        <x:v>PROC.contractWithSupplier</x:v>
      </x:c>
      <x:c r="C144" s="31" t="str">
        <x:v>CON-008</x:v>
      </x:c>
      <x:c r="D144" s="31" t="str">
        <x:v>SUP-C012</x:v>
      </x:c>
      <x:c r="E144" s="31" t="str">
        <x:v>CASE-008</x:v>
      </x:c>
      <x:c r="F144" s="31" t="str">
        <x:v>ContractSystem</x:v>
      </x:c>
      <x:c r="G144" s="31" t="str">
        <x:v>CON-008</x:v>
      </x:c>
      <x:c r="H144" s="31" t="str"/>
      <x:c r="I144" s="72" t="n">
        <x:v>1</x:v>
      </x:c>
      <x:c r="J144" s="69" t="n">
        <x:v>46023</x:v>
      </x:c>
      <x:c r="K144" s="69"/>
      <x:c r="L144" s="31" t="str">
        <x:v>{}</x:v>
      </x:c>
    </x:row>
    <x:row r="145">
      <x:c r="A145" s="31" t="str">
        <x:v>REL-0141</x:v>
      </x:c>
      <x:c r="B145" s="31" t="str">
        <x:v>PROC.projectGeneratesContract</x:v>
      </x:c>
      <x:c r="C145" s="31" t="str">
        <x:v>PRJ-006</x:v>
      </x:c>
      <x:c r="D145" s="31" t="str">
        <x:v>CON-006</x:v>
      </x:c>
      <x:c r="E145" s="31" t="str">
        <x:v>CASE-006</x:v>
      </x:c>
      <x:c r="F145" s="31" t="str">
        <x:v>ContractSystem</x:v>
      </x:c>
      <x:c r="G145" s="31" t="str">
        <x:v>CON-006</x:v>
      </x:c>
      <x:c r="H145" s="31" t="str"/>
      <x:c r="I145" s="72" t="n">
        <x:v>1</x:v>
      </x:c>
      <x:c r="J145" s="69" t="n">
        <x:v>46023</x:v>
      </x:c>
      <x:c r="K145" s="69"/>
      <x:c r="L145" s="31" t="str">
        <x:v>{}</x:v>
      </x:c>
    </x:row>
    <x:row r="146">
      <x:c r="A146" s="31" t="str">
        <x:v>REL-0142</x:v>
      </x:c>
      <x:c r="B146" s="31" t="str">
        <x:v>PROC.contractWithSupplier</x:v>
      </x:c>
      <x:c r="C146" s="31" t="str">
        <x:v>CON-006</x:v>
      </x:c>
      <x:c r="D146" s="31" t="str">
        <x:v>SUP-C010</x:v>
      </x:c>
      <x:c r="E146" s="31" t="str">
        <x:v>CASE-006</x:v>
      </x:c>
      <x:c r="F146" s="31" t="str">
        <x:v>ContractSystem</x:v>
      </x:c>
      <x:c r="G146" s="31" t="str">
        <x:v>CON-006</x:v>
      </x:c>
      <x:c r="H146" s="31" t="str"/>
      <x:c r="I146" s="72" t="n">
        <x:v>1</x:v>
      </x:c>
      <x:c r="J146" s="69" t="n">
        <x:v>46023</x:v>
      </x:c>
      <x:c r="K146" s="69"/>
      <x:c r="L146" s="31" t="str">
        <x:v>{}</x:v>
      </x:c>
    </x:row>
    <x:row r="147">
      <x:c r="A147" s="31" t="str">
        <x:v>REL-0143</x:v>
      </x:c>
      <x:c r="B147" s="31" t="str">
        <x:v>PROC.contractHasChange</x:v>
      </x:c>
      <x:c r="C147" s="31" t="str">
        <x:v>CON-007</x:v>
      </x:c>
      <x:c r="D147" s="31" t="str">
        <x:v>CHG-007</x:v>
      </x:c>
      <x:c r="E147" s="31" t="str">
        <x:v>CASE-007</x:v>
      </x:c>
      <x:c r="F147" s="31" t="str">
        <x:v>ContractSystem</x:v>
      </x:c>
      <x:c r="G147" s="31" t="str">
        <x:v>CHG-007</x:v>
      </x:c>
      <x:c r="H147" s="31" t="str">
        <x:v>EVI-007-01</x:v>
      </x:c>
      <x:c r="I147" s="72" t="n">
        <x:v>1</x:v>
      </x:c>
      <x:c r="J147" s="69" t="n">
        <x:v>46023</x:v>
      </x:c>
      <x:c r="K147" s="69"/>
      <x:c r="L147" s="31" t="str">
        <x:v>{}</x:v>
      </x:c>
    </x:row>
    <x:row r="148">
      <x:c r="A148" s="31" t="str">
        <x:v>REL-0144</x:v>
      </x:c>
      <x:c r="B148" s="31" t="str">
        <x:v>PROC.contractGeneratesOrder</x:v>
      </x:c>
      <x:c r="C148" s="31" t="str">
        <x:v>CON-002A</x:v>
      </x:c>
      <x:c r="D148" s="31" t="str">
        <x:v>PO-002A</x:v>
      </x:c>
      <x:c r="E148" s="31" t="str">
        <x:v>CASE-002</x:v>
      </x:c>
      <x:c r="F148" s="31" t="str">
        <x:v>ERP</x:v>
      </x:c>
      <x:c r="G148" s="31" t="str">
        <x:v>PO-002A</x:v>
      </x:c>
      <x:c r="H148" s="31" t="str">
        <x:v>EVI-002-04</x:v>
      </x:c>
      <x:c r="I148" s="72" t="n">
        <x:v>1</x:v>
      </x:c>
      <x:c r="J148" s="69" t="n">
        <x:v>46184.0625</x:v>
      </x:c>
      <x:c r="K148" s="69"/>
      <x:c r="L148" s="31" t="str">
        <x:v>{}</x:v>
      </x:c>
    </x:row>
    <x:row r="149">
      <x:c r="A149" s="31" t="str">
        <x:v>REL-0145</x:v>
      </x:c>
      <x:c r="B149" s="31" t="str">
        <x:v>PROC.contractGeneratesOrder</x:v>
      </x:c>
      <x:c r="C149" s="31" t="str">
        <x:v>CON-002B</x:v>
      </x:c>
      <x:c r="D149" s="31" t="str">
        <x:v>PO-002B</x:v>
      </x:c>
      <x:c r="E149" s="31" t="str">
        <x:v>CASE-002</x:v>
      </x:c>
      <x:c r="F149" s="31" t="str">
        <x:v>ERP</x:v>
      </x:c>
      <x:c r="G149" s="31" t="str">
        <x:v>PO-002B</x:v>
      </x:c>
      <x:c r="H149" s="31" t="str">
        <x:v>EVI-002-04</x:v>
      </x:c>
      <x:c r="I149" s="72" t="n">
        <x:v>1</x:v>
      </x:c>
      <x:c r="J149" s="69" t="n">
        <x:v>46192.0625</x:v>
      </x:c>
      <x:c r="K149" s="69"/>
      <x:c r="L149" s="31" t="str">
        <x:v>{}</x:v>
      </x:c>
    </x:row>
    <x:row r="150">
      <x:c r="A150" s="31" t="str">
        <x:v>REL-0146</x:v>
      </x:c>
      <x:c r="B150" s="31" t="str">
        <x:v>PROC.contractGeneratesOrder</x:v>
      </x:c>
      <x:c r="C150" s="31" t="str">
        <x:v>CON-002C</x:v>
      </x:c>
      <x:c r="D150" s="31" t="str">
        <x:v>PO-002C</x:v>
      </x:c>
      <x:c r="E150" s="31" t="str">
        <x:v>CASE-002</x:v>
      </x:c>
      <x:c r="F150" s="31" t="str">
        <x:v>ERP</x:v>
      </x:c>
      <x:c r="G150" s="31" t="str">
        <x:v>PO-002C</x:v>
      </x:c>
      <x:c r="H150" s="31" t="str">
        <x:v>EVI-002-04</x:v>
      </x:c>
      <x:c r="I150" s="72" t="n">
        <x:v>1</x:v>
      </x:c>
      <x:c r="J150" s="69" t="n">
        <x:v>46202.0625</x:v>
      </x:c>
      <x:c r="K150" s="69"/>
      <x:c r="L150" s="31" t="str">
        <x:v>{}</x:v>
      </x:c>
    </x:row>
    <x:row r="151">
      <x:c r="A151" s="31" t="str">
        <x:v>REL-0147</x:v>
      </x:c>
      <x:c r="B151" s="31" t="str">
        <x:v>PROC.contractGeneratesOrder</x:v>
      </x:c>
      <x:c r="C151" s="31" t="str">
        <x:v>CON-006</x:v>
      </x:c>
      <x:c r="D151" s="31" t="str">
        <x:v>PO-006</x:v>
      </x:c>
      <x:c r="E151" s="31" t="str">
        <x:v>CASE-006</x:v>
      </x:c>
      <x:c r="F151" s="31" t="str">
        <x:v>ERP</x:v>
      </x:c>
      <x:c r="G151" s="31" t="str">
        <x:v>PO-006</x:v>
      </x:c>
      <x:c r="H151" s="31" t="str"/>
      <x:c r="I151" s="72" t="n">
        <x:v>1</x:v>
      </x:c>
      <x:c r="J151" s="69" t="n">
        <x:v>46023</x:v>
      </x:c>
      <x:c r="K151" s="69"/>
      <x:c r="L151" s="31" t="str">
        <x:v>{}</x:v>
      </x:c>
    </x:row>
    <x:row r="152">
      <x:c r="A152" s="31" t="str">
        <x:v>REL-0148</x:v>
      </x:c>
      <x:c r="B152" s="31" t="str">
        <x:v>PROC.contractGeneratesOrder</x:v>
      </x:c>
      <x:c r="C152" s="31" t="str">
        <x:v>CON-007</x:v>
      </x:c>
      <x:c r="D152" s="31" t="str">
        <x:v>PO-007</x:v>
      </x:c>
      <x:c r="E152" s="31" t="str">
        <x:v>CASE-007</x:v>
      </x:c>
      <x:c r="F152" s="31" t="str">
        <x:v>ERP</x:v>
      </x:c>
      <x:c r="G152" s="31" t="str">
        <x:v>PO-007</x:v>
      </x:c>
      <x:c r="H152" s="31" t="str"/>
      <x:c r="I152" s="72" t="n">
        <x:v>1</x:v>
      </x:c>
      <x:c r="J152" s="69" t="n">
        <x:v>46023</x:v>
      </x:c>
      <x:c r="K152" s="69"/>
      <x:c r="L152" s="31" t="str">
        <x:v>{}</x:v>
      </x:c>
    </x:row>
    <x:row r="153">
      <x:c r="A153" s="31" t="str">
        <x:v>REL-0149</x:v>
      </x:c>
      <x:c r="B153" s="31" t="str">
        <x:v>PROC.contractGeneratesOrder</x:v>
      </x:c>
      <x:c r="C153" s="31" t="str">
        <x:v>CON-008</x:v>
      </x:c>
      <x:c r="D153" s="31" t="str">
        <x:v>PO-008</x:v>
      </x:c>
      <x:c r="E153" s="31" t="str">
        <x:v>CASE-008</x:v>
      </x:c>
      <x:c r="F153" s="31" t="str">
        <x:v>ERP</x:v>
      </x:c>
      <x:c r="G153" s="31" t="str">
        <x:v>PO-008</x:v>
      </x:c>
      <x:c r="H153" s="31" t="str"/>
      <x:c r="I153" s="72" t="n">
        <x:v>1</x:v>
      </x:c>
      <x:c r="J153" s="69" t="n">
        <x:v>46023</x:v>
      </x:c>
      <x:c r="K153" s="69"/>
      <x:c r="L153" s="31" t="str">
        <x:v>{}</x:v>
      </x:c>
    </x:row>
    <x:row r="154">
      <x:c r="A154" s="31" t="str">
        <x:v>REL-0150</x:v>
      </x:c>
      <x:c r="B154" s="31" t="str">
        <x:v>PROC.orderHasLogistics</x:v>
      </x:c>
      <x:c r="C154" s="31" t="str">
        <x:v>PO-006</x:v>
      </x:c>
      <x:c r="D154" s="31" t="str">
        <x:v>LOG-006</x:v>
      </x:c>
      <x:c r="E154" s="31" t="str">
        <x:v>CASE-006</x:v>
      </x:c>
      <x:c r="F154" s="31" t="str">
        <x:v>LogisticsPlatform</x:v>
      </x:c>
      <x:c r="G154" s="31" t="str">
        <x:v>LOG-006</x:v>
      </x:c>
      <x:c r="H154" s="31" t="str">
        <x:v>EVI-006-01</x:v>
      </x:c>
      <x:c r="I154" s="72" t="n">
        <x:v>1</x:v>
      </x:c>
      <x:c r="J154" s="69" t="n">
        <x:v>46023</x:v>
      </x:c>
      <x:c r="K154" s="69"/>
      <x:c r="L154" s="31" t="str">
        <x:v>{}</x:v>
      </x:c>
    </x:row>
    <x:row r="155">
      <x:c r="A155" s="31" t="str">
        <x:v>REL-0151</x:v>
      </x:c>
      <x:c r="B155" s="31" t="str">
        <x:v>PROC.orderHasReceipt</x:v>
      </x:c>
      <x:c r="C155" s="31" t="str">
        <x:v>PO-006</x:v>
      </x:c>
      <x:c r="D155" s="31" t="str">
        <x:v>GR-006</x:v>
      </x:c>
      <x:c r="E155" s="31" t="str">
        <x:v>CASE-006</x:v>
      </x:c>
      <x:c r="F155" s="31" t="str">
        <x:v>WMS</x:v>
      </x:c>
      <x:c r="G155" s="31" t="str">
        <x:v>GR-006</x:v>
      </x:c>
      <x:c r="H155" s="31" t="str">
        <x:v>EVI-006-02</x:v>
      </x:c>
      <x:c r="I155" s="72" t="n">
        <x:v>1</x:v>
      </x:c>
      <x:c r="J155" s="69" t="n">
        <x:v>46023</x:v>
      </x:c>
      <x:c r="K155" s="69"/>
      <x:c r="L155" s="31" t="str">
        <x:v>{}</x:v>
      </x:c>
    </x:row>
    <x:row r="156">
      <x:c r="A156" s="31" t="str">
        <x:v>REL-0152</x:v>
      </x:c>
      <x:c r="B156" s="31" t="str">
        <x:v>PROC.receiptAtWarehouse</x:v>
      </x:c>
      <x:c r="C156" s="31" t="str">
        <x:v>GR-006</x:v>
      </x:c>
      <x:c r="D156" s="31" t="str">
        <x:v>WH-001</x:v>
      </x:c>
      <x:c r="E156" s="31" t="str">
        <x:v>CASE-006</x:v>
      </x:c>
      <x:c r="F156" s="31" t="str">
        <x:v>WMS</x:v>
      </x:c>
      <x:c r="G156" s="31" t="str">
        <x:v>GR-006</x:v>
      </x:c>
      <x:c r="H156" s="31" t="str"/>
      <x:c r="I156" s="72" t="n">
        <x:v>1</x:v>
      </x:c>
      <x:c r="J156" s="69" t="n">
        <x:v>46023</x:v>
      </x:c>
      <x:c r="K156" s="69"/>
      <x:c r="L156" s="31" t="str">
        <x:v>{}</x:v>
      </x:c>
    </x:row>
    <x:row r="157">
      <x:c r="A157" s="31" t="str">
        <x:v>REL-0153</x:v>
      </x:c>
      <x:c r="B157" s="31" t="str">
        <x:v>PROC.receiptHasInspection</x:v>
      </x:c>
      <x:c r="C157" s="31" t="str">
        <x:v>GR-006</x:v>
      </x:c>
      <x:c r="D157" s="31" t="str">
        <x:v>INSP-006</x:v>
      </x:c>
      <x:c r="E157" s="31" t="str">
        <x:v>CASE-006</x:v>
      </x:c>
      <x:c r="F157" s="31" t="str">
        <x:v>WMS</x:v>
      </x:c>
      <x:c r="G157" s="31" t="str">
        <x:v>INSP-006</x:v>
      </x:c>
      <x:c r="H157" s="31" t="str"/>
      <x:c r="I157" s="72" t="n">
        <x:v>1</x:v>
      </x:c>
      <x:c r="J157" s="69" t="n">
        <x:v>46023</x:v>
      </x:c>
      <x:c r="K157" s="69"/>
      <x:c r="L157" s="31" t="str">
        <x:v>{}</x:v>
      </x:c>
    </x:row>
    <x:row r="158">
      <x:c r="A158" s="31" t="str">
        <x:v>REL-0154</x:v>
      </x:c>
      <x:c r="B158" s="31" t="str">
        <x:v>PROC.orderHasLogistics</x:v>
      </x:c>
      <x:c r="C158" s="31" t="str">
        <x:v>PO-007</x:v>
      </x:c>
      <x:c r="D158" s="31" t="str">
        <x:v>LOG-007</x:v>
      </x:c>
      <x:c r="E158" s="31" t="str">
        <x:v>CASE-007</x:v>
      </x:c>
      <x:c r="F158" s="31" t="str">
        <x:v>LogisticsPlatform</x:v>
      </x:c>
      <x:c r="G158" s="31" t="str">
        <x:v>LOG-007</x:v>
      </x:c>
      <x:c r="H158" s="31" t="str"/>
      <x:c r="I158" s="72" t="n">
        <x:v>1</x:v>
      </x:c>
      <x:c r="J158" s="69" t="n">
        <x:v>46023</x:v>
      </x:c>
      <x:c r="K158" s="69"/>
      <x:c r="L158" s="31" t="str">
        <x:v>{}</x:v>
      </x:c>
    </x:row>
    <x:row r="159">
      <x:c r="A159" s="31" t="str">
        <x:v>REL-0155</x:v>
      </x:c>
      <x:c r="B159" s="31" t="str">
        <x:v>PROC.orderHasReceipt</x:v>
      </x:c>
      <x:c r="C159" s="31" t="str">
        <x:v>PO-007</x:v>
      </x:c>
      <x:c r="D159" s="31" t="str">
        <x:v>GR-007</x:v>
      </x:c>
      <x:c r="E159" s="31" t="str">
        <x:v>CASE-007</x:v>
      </x:c>
      <x:c r="F159" s="31" t="str">
        <x:v>WMS</x:v>
      </x:c>
      <x:c r="G159" s="31" t="str">
        <x:v>GR-007</x:v>
      </x:c>
      <x:c r="H159" s="31" t="str"/>
      <x:c r="I159" s="72" t="n">
        <x:v>1</x:v>
      </x:c>
      <x:c r="J159" s="69" t="n">
        <x:v>46023</x:v>
      </x:c>
      <x:c r="K159" s="69"/>
      <x:c r="L159" s="31" t="str">
        <x:v>{}</x:v>
      </x:c>
    </x:row>
    <x:row r="160">
      <x:c r="A160" s="31" t="str">
        <x:v>REL-0156</x:v>
      </x:c>
      <x:c r="B160" s="31" t="str">
        <x:v>PROC.receiptAtWarehouse</x:v>
      </x:c>
      <x:c r="C160" s="31" t="str">
        <x:v>GR-007</x:v>
      </x:c>
      <x:c r="D160" s="31" t="str">
        <x:v>WH-001</x:v>
      </x:c>
      <x:c r="E160" s="31" t="str">
        <x:v>CASE-007</x:v>
      </x:c>
      <x:c r="F160" s="31" t="str">
        <x:v>WMS</x:v>
      </x:c>
      <x:c r="G160" s="31" t="str">
        <x:v>GR-007</x:v>
      </x:c>
      <x:c r="H160" s="31" t="str"/>
      <x:c r="I160" s="72" t="n">
        <x:v>1</x:v>
      </x:c>
      <x:c r="J160" s="69" t="n">
        <x:v>46023</x:v>
      </x:c>
      <x:c r="K160" s="69"/>
      <x:c r="L160" s="31" t="str">
        <x:v>{}</x:v>
      </x:c>
    </x:row>
    <x:row r="161">
      <x:c r="A161" s="31" t="str">
        <x:v>REL-0157</x:v>
      </x:c>
      <x:c r="B161" s="31" t="str">
        <x:v>PROC.receiptHasInspection</x:v>
      </x:c>
      <x:c r="C161" s="31" t="str">
        <x:v>GR-007</x:v>
      </x:c>
      <x:c r="D161" s="31" t="str">
        <x:v>INSP-007</x:v>
      </x:c>
      <x:c r="E161" s="31" t="str">
        <x:v>CASE-007</x:v>
      </x:c>
      <x:c r="F161" s="31" t="str">
        <x:v>WMS</x:v>
      </x:c>
      <x:c r="G161" s="31" t="str">
        <x:v>INSP-007</x:v>
      </x:c>
      <x:c r="H161" s="31" t="str">
        <x:v>EVI-007-03</x:v>
      </x:c>
      <x:c r="I161" s="72" t="n">
        <x:v>1</x:v>
      </x:c>
      <x:c r="J161" s="69" t="n">
        <x:v>46023</x:v>
      </x:c>
      <x:c r="K161" s="69"/>
      <x:c r="L161" s="31" t="str">
        <x:v>{}</x:v>
      </x:c>
    </x:row>
    <x:row r="162">
      <x:c r="A162" s="31" t="str">
        <x:v>REL-0158</x:v>
      </x:c>
      <x:c r="B162" s="31" t="str">
        <x:v>PROC.orderHasLogistics</x:v>
      </x:c>
      <x:c r="C162" s="31" t="str">
        <x:v>PO-008</x:v>
      </x:c>
      <x:c r="D162" s="31" t="str">
        <x:v>LOG-008</x:v>
      </x:c>
      <x:c r="E162" s="31" t="str">
        <x:v>CASE-008</x:v>
      </x:c>
      <x:c r="F162" s="31" t="str">
        <x:v>LogisticsPlatform</x:v>
      </x:c>
      <x:c r="G162" s="31" t="str">
        <x:v>LOG-008</x:v>
      </x:c>
      <x:c r="H162" s="31" t="str"/>
      <x:c r="I162" s="72" t="n">
        <x:v>1</x:v>
      </x:c>
      <x:c r="J162" s="69" t="n">
        <x:v>46023</x:v>
      </x:c>
      <x:c r="K162" s="69"/>
      <x:c r="L162" s="31" t="str">
        <x:v>{}</x:v>
      </x:c>
    </x:row>
    <x:row r="163">
      <x:c r="A163" s="31" t="str">
        <x:v>REL-0159</x:v>
      </x:c>
      <x:c r="B163" s="31" t="str">
        <x:v>PROC.orderHasReceipt</x:v>
      </x:c>
      <x:c r="C163" s="31" t="str">
        <x:v>PO-008</x:v>
      </x:c>
      <x:c r="D163" s="31" t="str">
        <x:v>GR-008</x:v>
      </x:c>
      <x:c r="E163" s="31" t="str">
        <x:v>CASE-008</x:v>
      </x:c>
      <x:c r="F163" s="31" t="str">
        <x:v>WMS</x:v>
      </x:c>
      <x:c r="G163" s="31" t="str">
        <x:v>GR-008</x:v>
      </x:c>
      <x:c r="H163" s="31" t="str"/>
      <x:c r="I163" s="72" t="n">
        <x:v>1</x:v>
      </x:c>
      <x:c r="J163" s="69" t="n">
        <x:v>46023</x:v>
      </x:c>
      <x:c r="K163" s="69"/>
      <x:c r="L163" s="31" t="str">
        <x:v>{}</x:v>
      </x:c>
    </x:row>
    <x:row r="164">
      <x:c r="A164" s="31" t="str">
        <x:v>REL-0160</x:v>
      </x:c>
      <x:c r="B164" s="31" t="str">
        <x:v>PROC.receiptAtWarehouse</x:v>
      </x:c>
      <x:c r="C164" s="31" t="str">
        <x:v>GR-008</x:v>
      </x:c>
      <x:c r="D164" s="31" t="str">
        <x:v>WH-001</x:v>
      </x:c>
      <x:c r="E164" s="31" t="str">
        <x:v>CASE-008</x:v>
      </x:c>
      <x:c r="F164" s="31" t="str">
        <x:v>WMS</x:v>
      </x:c>
      <x:c r="G164" s="31" t="str">
        <x:v>GR-008</x:v>
      </x:c>
      <x:c r="H164" s="31" t="str"/>
      <x:c r="I164" s="72" t="n">
        <x:v>1</x:v>
      </x:c>
      <x:c r="J164" s="69" t="n">
        <x:v>46023</x:v>
      </x:c>
      <x:c r="K164" s="69"/>
      <x:c r="L164" s="31" t="str">
        <x:v>{}</x:v>
      </x:c>
    </x:row>
    <x:row r="165">
      <x:c r="A165" s="31" t="str">
        <x:v>REL-0161</x:v>
      </x:c>
      <x:c r="B165" s="31" t="str">
        <x:v>PROC.receiptHasInspection</x:v>
      </x:c>
      <x:c r="C165" s="31" t="str">
        <x:v>GR-008</x:v>
      </x:c>
      <x:c r="D165" s="31" t="str">
        <x:v>INSP-008</x:v>
      </x:c>
      <x:c r="E165" s="31" t="str">
        <x:v>CASE-008</x:v>
      </x:c>
      <x:c r="F165" s="31" t="str">
        <x:v>WMS</x:v>
      </x:c>
      <x:c r="G165" s="31" t="str">
        <x:v>INSP-008</x:v>
      </x:c>
      <x:c r="H165" s="31" t="str"/>
      <x:c r="I165" s="72" t="n">
        <x:v>1</x:v>
      </x:c>
      <x:c r="J165" s="69" t="n">
        <x:v>46023</x:v>
      </x:c>
      <x:c r="K165" s="69"/>
      <x:c r="L165" s="31" t="str">
        <x:v>{}</x:v>
      </x:c>
    </x:row>
    <x:row r="166">
      <x:c r="A166" s="31" t="str">
        <x:v>REL-0162</x:v>
      </x:c>
      <x:c r="B166" s="31" t="str">
        <x:v>PROC.invoiceForContract</x:v>
      </x:c>
      <x:c r="C166" s="31" t="str">
        <x:v>INV-006</x:v>
      </x:c>
      <x:c r="D166" s="31" t="str">
        <x:v>CON-006</x:v>
      </x:c>
      <x:c r="E166" s="31" t="str">
        <x:v>CASE-006</x:v>
      </x:c>
      <x:c r="F166" s="31" t="str">
        <x:v>InvoicePlatform</x:v>
      </x:c>
      <x:c r="G166" s="31" t="str">
        <x:v>INV-006</x:v>
      </x:c>
      <x:c r="H166" s="31" t="str"/>
      <x:c r="I166" s="72" t="n">
        <x:v>1</x:v>
      </x:c>
      <x:c r="J166" s="69" t="n">
        <x:v>46023</x:v>
      </x:c>
      <x:c r="K166" s="69"/>
      <x:c r="L166" s="31" t="str">
        <x:v>{}</x:v>
      </x:c>
    </x:row>
    <x:row r="167">
      <x:c r="A167" s="31" t="str">
        <x:v>REL-0163</x:v>
      </x:c>
      <x:c r="B167" s="31" t="str">
        <x:v>PROC.invoiceIssuedBySupplier</x:v>
      </x:c>
      <x:c r="C167" s="31" t="str">
        <x:v>INV-006</x:v>
      </x:c>
      <x:c r="D167" s="31" t="str">
        <x:v>SUP-C010</x:v>
      </x:c>
      <x:c r="E167" s="31" t="str">
        <x:v>CASE-006</x:v>
      </x:c>
      <x:c r="F167" s="31" t="str">
        <x:v>InvoicePlatform</x:v>
      </x:c>
      <x:c r="G167" s="31" t="str">
        <x:v>INV-006</x:v>
      </x:c>
      <x:c r="H167" s="31" t="str"/>
      <x:c r="I167" s="72" t="n">
        <x:v>1</x:v>
      </x:c>
      <x:c r="J167" s="69" t="n">
        <x:v>46023</x:v>
      </x:c>
      <x:c r="K167" s="69"/>
      <x:c r="L167" s="31" t="str">
        <x:v>{}</x:v>
      </x:c>
    </x:row>
    <x:row r="168">
      <x:c r="A168" s="31" t="str">
        <x:v>REL-0164</x:v>
      </x:c>
      <x:c r="B168" s="31" t="str">
        <x:v>PROC.paymentPaysInvoice</x:v>
      </x:c>
      <x:c r="C168" s="31" t="str">
        <x:v>PAY-006</x:v>
      </x:c>
      <x:c r="D168" s="31" t="str">
        <x:v>INV-006</x:v>
      </x:c>
      <x:c r="E168" s="31" t="str">
        <x:v>CASE-006</x:v>
      </x:c>
      <x:c r="F168" s="31" t="str">
        <x:v>Treasury</x:v>
      </x:c>
      <x:c r="G168" s="31" t="str">
        <x:v>PAY-006</x:v>
      </x:c>
      <x:c r="H168" s="31" t="str"/>
      <x:c r="I168" s="72" t="n">
        <x:v>1</x:v>
      </x:c>
      <x:c r="J168" s="69" t="n">
        <x:v>46023</x:v>
      </x:c>
      <x:c r="K168" s="69"/>
      <x:c r="L168" s="31" t="str">
        <x:v>{}</x:v>
      </x:c>
    </x:row>
    <x:row r="169">
      <x:c r="A169" s="31" t="str">
        <x:v>REL-0165</x:v>
      </x:c>
      <x:c r="B169" s="31" t="str">
        <x:v>PROC.paymentToAccount</x:v>
      </x:c>
      <x:c r="C169" s="31" t="str">
        <x:v>PAY-006</x:v>
      </x:c>
      <x:c r="D169" s="31" t="str">
        <x:v>BA-SUP10</x:v>
      </x:c>
      <x:c r="E169" s="31" t="str">
        <x:v>CASE-006</x:v>
      </x:c>
      <x:c r="F169" s="31" t="str">
        <x:v>Treasury</x:v>
      </x:c>
      <x:c r="G169" s="31" t="str">
        <x:v>PAY-006</x:v>
      </x:c>
      <x:c r="H169" s="31" t="str"/>
      <x:c r="I169" s="72" t="n">
        <x:v>1</x:v>
      </x:c>
      <x:c r="J169" s="69" t="n">
        <x:v>46023</x:v>
      </x:c>
      <x:c r="K169" s="69"/>
      <x:c r="L169" s="31" t="str">
        <x:v>{}</x:v>
      </x:c>
    </x:row>
    <x:row r="170">
      <x:c r="A170" s="31" t="str">
        <x:v>REL-0166</x:v>
      </x:c>
      <x:c r="B170" s="31" t="str">
        <x:v>PROC.accountOwnedBy</x:v>
      </x:c>
      <x:c r="C170" s="31" t="str">
        <x:v>BA-SUP10</x:v>
      </x:c>
      <x:c r="D170" s="31" t="str">
        <x:v>SUP-C010</x:v>
      </x:c>
      <x:c r="E170" s="31" t="str">
        <x:v>CASE-006</x:v>
      </x:c>
      <x:c r="F170" s="31" t="str">
        <x:v>Treasury</x:v>
      </x:c>
      <x:c r="G170" s="31" t="str">
        <x:v>BA-SUP10</x:v>
      </x:c>
      <x:c r="H170" s="31" t="str"/>
      <x:c r="I170" s="72" t="n">
        <x:v>1</x:v>
      </x:c>
      <x:c r="J170" s="69" t="n">
        <x:v>46023</x:v>
      </x:c>
      <x:c r="K170" s="69"/>
      <x:c r="L170" s="31" t="str">
        <x:v>{}</x:v>
      </x:c>
    </x:row>
    <x:row r="171">
      <x:c r="A171" s="31" t="str">
        <x:v>REL-0167</x:v>
      </x:c>
      <x:c r="B171" s="31" t="str">
        <x:v>PROC.invoiceForContract</x:v>
      </x:c>
      <x:c r="C171" s="31" t="str">
        <x:v>INV-007</x:v>
      </x:c>
      <x:c r="D171" s="31" t="str">
        <x:v>CON-007</x:v>
      </x:c>
      <x:c r="E171" s="31" t="str">
        <x:v>CASE-007</x:v>
      </x:c>
      <x:c r="F171" s="31" t="str">
        <x:v>InvoicePlatform</x:v>
      </x:c>
      <x:c r="G171" s="31" t="str">
        <x:v>INV-007</x:v>
      </x:c>
      <x:c r="H171" s="31" t="str"/>
      <x:c r="I171" s="72" t="n">
        <x:v>1</x:v>
      </x:c>
      <x:c r="J171" s="69" t="n">
        <x:v>46023</x:v>
      </x:c>
      <x:c r="K171" s="69"/>
      <x:c r="L171" s="31" t="str">
        <x:v>{}</x:v>
      </x:c>
    </x:row>
    <x:row r="172">
      <x:c r="A172" s="31" t="str">
        <x:v>REL-0168</x:v>
      </x:c>
      <x:c r="B172" s="31" t="str">
        <x:v>PROC.invoiceIssuedBySupplier</x:v>
      </x:c>
      <x:c r="C172" s="31" t="str">
        <x:v>INV-007</x:v>
      </x:c>
      <x:c r="D172" s="31" t="str">
        <x:v>SUP-C011</x:v>
      </x:c>
      <x:c r="E172" s="31" t="str">
        <x:v>CASE-007</x:v>
      </x:c>
      <x:c r="F172" s="31" t="str">
        <x:v>InvoicePlatform</x:v>
      </x:c>
      <x:c r="G172" s="31" t="str">
        <x:v>INV-007</x:v>
      </x:c>
      <x:c r="H172" s="31" t="str"/>
      <x:c r="I172" s="72" t="n">
        <x:v>1</x:v>
      </x:c>
      <x:c r="J172" s="69" t="n">
        <x:v>46023</x:v>
      </x:c>
      <x:c r="K172" s="69"/>
      <x:c r="L172" s="31" t="str">
        <x:v>{}</x:v>
      </x:c>
    </x:row>
    <x:row r="173">
      <x:c r="A173" s="31" t="str">
        <x:v>REL-0169</x:v>
      </x:c>
      <x:c r="B173" s="31" t="str">
        <x:v>PROC.paymentPaysInvoice</x:v>
      </x:c>
      <x:c r="C173" s="31" t="str">
        <x:v>PAY-007</x:v>
      </x:c>
      <x:c r="D173" s="31" t="str">
        <x:v>INV-007</x:v>
      </x:c>
      <x:c r="E173" s="31" t="str">
        <x:v>CASE-007</x:v>
      </x:c>
      <x:c r="F173" s="31" t="str">
        <x:v>Treasury</x:v>
      </x:c>
      <x:c r="G173" s="31" t="str">
        <x:v>PAY-007</x:v>
      </x:c>
      <x:c r="H173" s="31" t="str"/>
      <x:c r="I173" s="72" t="n">
        <x:v>1</x:v>
      </x:c>
      <x:c r="J173" s="69" t="n">
        <x:v>46023</x:v>
      </x:c>
      <x:c r="K173" s="69"/>
      <x:c r="L173" s="31" t="str">
        <x:v>{}</x:v>
      </x:c>
    </x:row>
    <x:row r="174">
      <x:c r="A174" s="31" t="str">
        <x:v>REL-0170</x:v>
      </x:c>
      <x:c r="B174" s="31" t="str">
        <x:v>PROC.paymentToAccount</x:v>
      </x:c>
      <x:c r="C174" s="31" t="str">
        <x:v>PAY-007</x:v>
      </x:c>
      <x:c r="D174" s="31" t="str">
        <x:v>BA-SUP11</x:v>
      </x:c>
      <x:c r="E174" s="31" t="str">
        <x:v>CASE-007</x:v>
      </x:c>
      <x:c r="F174" s="31" t="str">
        <x:v>Treasury</x:v>
      </x:c>
      <x:c r="G174" s="31" t="str">
        <x:v>PAY-007</x:v>
      </x:c>
      <x:c r="H174" s="31" t="str"/>
      <x:c r="I174" s="72" t="n">
        <x:v>1</x:v>
      </x:c>
      <x:c r="J174" s="69" t="n">
        <x:v>46023</x:v>
      </x:c>
      <x:c r="K174" s="69"/>
      <x:c r="L174" s="31" t="str">
        <x:v>{}</x:v>
      </x:c>
    </x:row>
    <x:row r="175">
      <x:c r="A175" s="31" t="str">
        <x:v>REL-0171</x:v>
      </x:c>
      <x:c r="B175" s="31" t="str">
        <x:v>PROC.accountOwnedBy</x:v>
      </x:c>
      <x:c r="C175" s="31" t="str">
        <x:v>BA-SUP11</x:v>
      </x:c>
      <x:c r="D175" s="31" t="str">
        <x:v>SUP-C011</x:v>
      </x:c>
      <x:c r="E175" s="31" t="str">
        <x:v>CASE-007</x:v>
      </x:c>
      <x:c r="F175" s="31" t="str">
        <x:v>Treasury</x:v>
      </x:c>
      <x:c r="G175" s="31" t="str">
        <x:v>BA-SUP11</x:v>
      </x:c>
      <x:c r="H175" s="31" t="str"/>
      <x:c r="I175" s="72" t="n">
        <x:v>1</x:v>
      </x:c>
      <x:c r="J175" s="69" t="n">
        <x:v>46023</x:v>
      </x:c>
      <x:c r="K175" s="69"/>
      <x:c r="L175" s="31" t="str">
        <x:v>{}</x:v>
      </x:c>
    </x:row>
    <x:row r="176">
      <x:c r="A176" s="31" t="str">
        <x:v>REL-0172</x:v>
      </x:c>
      <x:c r="B176" s="31" t="str">
        <x:v>PROC.invoiceForContract</x:v>
      </x:c>
      <x:c r="C176" s="31" t="str">
        <x:v>INV-008</x:v>
      </x:c>
      <x:c r="D176" s="31" t="str">
        <x:v>CON-008</x:v>
      </x:c>
      <x:c r="E176" s="31" t="str">
        <x:v>CASE-008</x:v>
      </x:c>
      <x:c r="F176" s="31" t="str">
        <x:v>InvoicePlatform</x:v>
      </x:c>
      <x:c r="G176" s="31" t="str">
        <x:v>INV-008</x:v>
      </x:c>
      <x:c r="H176" s="31" t="str"/>
      <x:c r="I176" s="72" t="n">
        <x:v>1</x:v>
      </x:c>
      <x:c r="J176" s="69" t="n">
        <x:v>46023</x:v>
      </x:c>
      <x:c r="K176" s="69"/>
      <x:c r="L176" s="31" t="str">
        <x:v>{}</x:v>
      </x:c>
    </x:row>
    <x:row r="177">
      <x:c r="A177" s="31" t="str">
        <x:v>REL-0173</x:v>
      </x:c>
      <x:c r="B177" s="31" t="str">
        <x:v>PROC.invoiceIssuedBySupplier</x:v>
      </x:c>
      <x:c r="C177" s="31" t="str">
        <x:v>INV-008</x:v>
      </x:c>
      <x:c r="D177" s="31" t="str">
        <x:v>SUP-C012</x:v>
      </x:c>
      <x:c r="E177" s="31" t="str">
        <x:v>CASE-008</x:v>
      </x:c>
      <x:c r="F177" s="31" t="str">
        <x:v>InvoicePlatform</x:v>
      </x:c>
      <x:c r="G177" s="31" t="str">
        <x:v>INV-008</x:v>
      </x:c>
      <x:c r="H177" s="31" t="str"/>
      <x:c r="I177" s="72" t="n">
        <x:v>1</x:v>
      </x:c>
      <x:c r="J177" s="69" t="n">
        <x:v>46023</x:v>
      </x:c>
      <x:c r="K177" s="69"/>
      <x:c r="L177" s="31" t="str">
        <x:v>{}</x:v>
      </x:c>
    </x:row>
    <x:row r="178">
      <x:c r="A178" s="31" t="str">
        <x:v>REL-0174</x:v>
      </x:c>
      <x:c r="B178" s="31" t="str">
        <x:v>PROC.paymentPaysInvoice</x:v>
      </x:c>
      <x:c r="C178" s="31" t="str">
        <x:v>PAY-008</x:v>
      </x:c>
      <x:c r="D178" s="31" t="str">
        <x:v>INV-008</x:v>
      </x:c>
      <x:c r="E178" s="31" t="str">
        <x:v>CASE-008</x:v>
      </x:c>
      <x:c r="F178" s="31" t="str">
        <x:v>Treasury</x:v>
      </x:c>
      <x:c r="G178" s="31" t="str">
        <x:v>PAY-008</x:v>
      </x:c>
      <x:c r="H178" s="31" t="str"/>
      <x:c r="I178" s="72" t="n">
        <x:v>1</x:v>
      </x:c>
      <x:c r="J178" s="69" t="n">
        <x:v>46023</x:v>
      </x:c>
      <x:c r="K178" s="69"/>
      <x:c r="L178" s="31" t="str">
        <x:v>{}</x:v>
      </x:c>
    </x:row>
    <x:row r="179">
      <x:c r="A179" s="31" t="str">
        <x:v>REL-0175</x:v>
      </x:c>
      <x:c r="B179" s="31" t="str">
        <x:v>PROC.paymentToAccount</x:v>
      </x:c>
      <x:c r="C179" s="31" t="str">
        <x:v>PAY-008</x:v>
      </x:c>
      <x:c r="D179" s="31" t="str">
        <x:v>BA-SUP12</x:v>
      </x:c>
      <x:c r="E179" s="31" t="str">
        <x:v>CASE-008</x:v>
      </x:c>
      <x:c r="F179" s="31" t="str">
        <x:v>Treasury</x:v>
      </x:c>
      <x:c r="G179" s="31" t="str">
        <x:v>PAY-008</x:v>
      </x:c>
      <x:c r="H179" s="31" t="str"/>
      <x:c r="I179" s="72" t="n">
        <x:v>1</x:v>
      </x:c>
      <x:c r="J179" s="69" t="n">
        <x:v>46023</x:v>
      </x:c>
      <x:c r="K179" s="69"/>
      <x:c r="L179" s="31" t="str">
        <x:v>{}</x:v>
      </x:c>
    </x:row>
    <x:row r="180">
      <x:c r="A180" s="31" t="str">
        <x:v>REL-0176</x:v>
      </x:c>
      <x:c r="B180" s="31" t="str">
        <x:v>PROC.accountOwnedBy</x:v>
      </x:c>
      <x:c r="C180" s="31" t="str">
        <x:v>BA-SUP12</x:v>
      </x:c>
      <x:c r="D180" s="31" t="str">
        <x:v>SUP-C012</x:v>
      </x:c>
      <x:c r="E180" s="31" t="str">
        <x:v>CASE-008</x:v>
      </x:c>
      <x:c r="F180" s="31" t="str">
        <x:v>Treasury</x:v>
      </x:c>
      <x:c r="G180" s="31" t="str">
        <x:v>BA-SUP12</x:v>
      </x:c>
      <x:c r="H180" s="31" t="str"/>
      <x:c r="I180" s="72" t="n">
        <x:v>1</x:v>
      </x:c>
      <x:c r="J180" s="69" t="n">
        <x:v>46023</x:v>
      </x:c>
      <x:c r="K180" s="69"/>
      <x:c r="L180" s="31" t="str">
        <x:v>{}</x:v>
      </x:c>
    </x:row>
    <x:row r="181">
      <x:c r="A181" s="31" t="str">
        <x:v>REL-0177</x:v>
      </x:c>
      <x:c r="B181" s="31" t="str">
        <x:v>PROC.fundsTransferredTo</x:v>
      </x:c>
      <x:c r="C181" s="31" t="str">
        <x:v>BA-SUP10</x:v>
      </x:c>
      <x:c r="D181" s="31" t="str">
        <x:v>BA-AFFIL</x:v>
      </x:c>
      <x:c r="E181" s="31" t="str">
        <x:v>CASE-006</x:v>
      </x:c>
      <x:c r="F181" s="31" t="str">
        <x:v>BankFlow</x:v>
      </x:c>
      <x:c r="G181" s="31" t="str">
        <x:v>FLOW-006-001</x:v>
      </x:c>
      <x:c r="H181" s="31" t="str">
        <x:v>EVI-006-04</x:v>
      </x:c>
      <x:c r="I181" s="72" t="n">
        <x:v>0.99</x:v>
      </x:c>
      <x:c r="J181" s="69" t="n">
        <x:v>46161.09375</x:v>
      </x:c>
      <x:c r="K181" s="69"/>
      <x:c r="L181" s="31" t="str">
        <x:v>{"transfer_amount":4620000,"ratio":0.9506}</x:v>
      </x:c>
    </x:row>
    <x:row r="182">
      <x:c r="A182" s="32" t="str">
        <x:v>REL-0178</x:v>
      </x:c>
      <x:c r="B182" s="32" t="str">
        <x:v>PROC.accountOwnedByOrganization</x:v>
      </x:c>
      <x:c r="C182" s="32" t="str">
        <x:v>BA-AFFIL</x:v>
      </x:c>
      <x:c r="D182" s="32" t="str">
        <x:v>ORG-AFFIL</x:v>
      </x:c>
      <x:c r="E182" s="32" t="str">
        <x:v>CASE-006</x:v>
      </x:c>
      <x:c r="F182" s="32" t="str">
        <x:v>Treasury</x:v>
      </x:c>
      <x:c r="G182" s="32" t="str">
        <x:v>BA-AFFIL</x:v>
      </x:c>
      <x:c r="H182" s="32" t="str">
        <x:v>EVI-006-05</x:v>
      </x:c>
      <x:c r="I182" s="73" t="n">
        <x:v>1</x:v>
      </x:c>
      <x:c r="J182" s="70" t="n">
        <x:v>46023</x:v>
      </x:c>
      <x:c r="K182" s="70"/>
      <x:c r="L182" s="32" t="str">
        <x:v>{}</x:v>
      </x:c>
    </x:row>
    <x:row r="183">
      <x:c r="A183" t="str">
        <x:v>REL-0179</x:v>
      </x:c>
      <x:c r="B183" t="str">
        <x:v>PROC.projectGeneratesContract</x:v>
      </x:c>
      <x:c r="C183" t="str">
        <x:v>PRJ-002A</x:v>
      </x:c>
      <x:c r="D183" t="str">
        <x:v>CON-002A</x:v>
      </x:c>
      <x:c r="E183" t="str">
        <x:v>CASE-002</x:v>
      </x:c>
      <x:c r="F183" t="str">
        <x:v>ContractSystem</x:v>
      </x:c>
      <x:c r="G183" t="str">
        <x:v>CON-002A</x:v>
      </x:c>
      <x:c r="H183" t="str">
        <x:v>EVI-002-04</x:v>
      </x:c>
      <x:c r="I183" t="n">
        <x:v>1</x:v>
      </x:c>
      <x:c r="J183" t="n">
        <x:v>46174</x:v>
      </x:c>
      <x:c r="K183"/>
      <x:c r="L183" t="str">
        <x:v>{}</x:v>
      </x:c>
    </x:row>
    <x:row r="184">
      <x:c r="A184" t="str">
        <x:v>REL-0180</x:v>
      </x:c>
      <x:c r="B184" t="str">
        <x:v>PROC.contractWithSupplier</x:v>
      </x:c>
      <x:c r="C184" t="str">
        <x:v>CON-002A</x:v>
      </x:c>
      <x:c r="D184" t="str">
        <x:v>SUP-C002</x:v>
      </x:c>
      <x:c r="E184" t="str">
        <x:v>CASE-002</x:v>
      </x:c>
      <x:c r="F184" t="str">
        <x:v>ContractSystem</x:v>
      </x:c>
      <x:c r="G184" t="str">
        <x:v>CON-002A</x:v>
      </x:c>
      <x:c r="H184" t="str">
        <x:v>EVI-002-04</x:v>
      </x:c>
      <x:c r="I184" t="n">
        <x:v>1</x:v>
      </x:c>
      <x:c r="J184" t="n">
        <x:v>46174</x:v>
      </x:c>
      <x:c r="K184"/>
      <x:c r="L184" t="str">
        <x:v>{}</x:v>
      </x:c>
    </x:row>
    <x:row r="185">
      <x:c r="A185" t="str">
        <x:v>REL-0181</x:v>
      </x:c>
      <x:c r="B185" t="str">
        <x:v>PROC.projectGeneratesContract</x:v>
      </x:c>
      <x:c r="C185" t="str">
        <x:v>PRJ-002B</x:v>
      </x:c>
      <x:c r="D185" t="str">
        <x:v>CON-002B</x:v>
      </x:c>
      <x:c r="E185" t="str">
        <x:v>CASE-002</x:v>
      </x:c>
      <x:c r="F185" t="str">
        <x:v>ContractSystem</x:v>
      </x:c>
      <x:c r="G185" t="str">
        <x:v>CON-002B</x:v>
      </x:c>
      <x:c r="H185" t="str">
        <x:v>EVI-002-04</x:v>
      </x:c>
      <x:c r="I185" t="n">
        <x:v>1</x:v>
      </x:c>
      <x:c r="J185" t="n">
        <x:v>46174</x:v>
      </x:c>
      <x:c r="K185"/>
      <x:c r="L185" t="str">
        <x:v>{}</x:v>
      </x:c>
    </x:row>
    <x:row r="186">
      <x:c r="A186" t="str">
        <x:v>REL-0182</x:v>
      </x:c>
      <x:c r="B186" t="str">
        <x:v>PROC.contractWithSupplier</x:v>
      </x:c>
      <x:c r="C186" t="str">
        <x:v>CON-002B</x:v>
      </x:c>
      <x:c r="D186" t="str">
        <x:v>SUP-C002</x:v>
      </x:c>
      <x:c r="E186" t="str">
        <x:v>CASE-002</x:v>
      </x:c>
      <x:c r="F186" t="str">
        <x:v>ContractSystem</x:v>
      </x:c>
      <x:c r="G186" t="str">
        <x:v>CON-002B</x:v>
      </x:c>
      <x:c r="H186" t="str">
        <x:v>EVI-002-04</x:v>
      </x:c>
      <x:c r="I186" t="n">
        <x:v>1</x:v>
      </x:c>
      <x:c r="J186" t="n">
        <x:v>46174</x:v>
      </x:c>
      <x:c r="K186"/>
      <x:c r="L186" t="str">
        <x:v>{}</x:v>
      </x:c>
    </x:row>
    <x:row r="187">
      <x:c r="A187" t="str">
        <x:v>REL-0183</x:v>
      </x:c>
      <x:c r="B187" t="str">
        <x:v>PROC.projectGeneratesContract</x:v>
      </x:c>
      <x:c r="C187" t="str">
        <x:v>PRJ-002C</x:v>
      </x:c>
      <x:c r="D187" t="str">
        <x:v>CON-002C</x:v>
      </x:c>
      <x:c r="E187" t="str">
        <x:v>CASE-002</x:v>
      </x:c>
      <x:c r="F187" t="str">
        <x:v>ContractSystem</x:v>
      </x:c>
      <x:c r="G187" t="str">
        <x:v>CON-002C</x:v>
      </x:c>
      <x:c r="H187" t="str">
        <x:v>EVI-002-04</x:v>
      </x:c>
      <x:c r="I187" t="n">
        <x:v>1</x:v>
      </x:c>
      <x:c r="J187" t="n">
        <x:v>46174</x:v>
      </x:c>
      <x:c r="K187"/>
      <x:c r="L187" t="str">
        <x:v>{}</x:v>
      </x:c>
    </x:row>
    <x:row r="188">
      <x:c r="A188" t="str">
        <x:v>REL-0184</x:v>
      </x:c>
      <x:c r="B188" t="str">
        <x:v>PROC.contractWithSupplier</x:v>
      </x:c>
      <x:c r="C188" t="str">
        <x:v>CON-002C</x:v>
      </x:c>
      <x:c r="D188" t="str">
        <x:v>SUP-C002</x:v>
      </x:c>
      <x:c r="E188" t="str">
        <x:v>CASE-002</x:v>
      </x:c>
      <x:c r="F188" t="str">
        <x:v>ContractSystem</x:v>
      </x:c>
      <x:c r="G188" t="str">
        <x:v>CON-002C</x:v>
      </x:c>
      <x:c r="H188" t="str">
        <x:v>EVI-002-04</x:v>
      </x:c>
      <x:c r="I188" t="n">
        <x:v>1</x:v>
      </x:c>
      <x:c r="J188" t="n">
        <x:v>46174</x:v>
      </x:c>
      <x:c r="K188"/>
      <x:c r="L188" t="str">
        <x:v>{}</x:v>
      </x:c>
    </x:row>
    <x:row r="189">
      <x:c r="A189" t="str">
        <x:v>REL-PKG5-001</x:v>
      </x:c>
      <x:c r="B189" t="str">
        <x:v>PROC.employs</x:v>
      </x:c>
      <x:c r="C189" t="str">
        <x:v>ORG-SEC</x:v>
      </x:c>
      <x:c r="D189" t="str">
        <x:v>PER-LEGAL-004</x:v>
      </x:c>
      <x:c r="E189" t="str">
        <x:v>CASE-004</x:v>
      </x:c>
      <x:c r="F189" t="str">
        <x:v>MDM</x:v>
      </x:c>
      <x:c r="G189" t="str">
        <x:v>PER-LEGAL-004</x:v>
      </x:c>
      <x:c r="H189" t="str">
        <x:v>EVI-PKG5-104</x:v>
      </x:c>
      <x:c r="I189" t="n">
        <x:v>1</x:v>
      </x:c>
      <x:c r="J189" t="n">
        <x:v>45292</x:v>
      </x:c>
      <x:c r="K189"/>
      <x:c r="L189" t="str">
        <x:v>{"employment_type":"项目顾问"}</x:v>
      </x:c>
    </x:row>
    <x:row r="190">
      <x:c r="A190" t="str">
        <x:v>REL-PKG5-002</x:v>
      </x:c>
      <x:c r="B190" t="str">
        <x:v>PROC.personLegalRepresentativeOfSupplier</x:v>
      </x:c>
      <x:c r="C190" t="str">
        <x:v>PER-LEGAL-004</x:v>
      </x:c>
      <x:c r="D190" t="str">
        <x:v>SUP-C006</x:v>
      </x:c>
      <x:c r="E190" t="str">
        <x:v>CASE-004</x:v>
      </x:c>
      <x:c r="F190" t="str">
        <x:v>ExternalCorp</x:v>
      </x:c>
      <x:c r="G190" t="str">
        <x:v>SUP-C006</x:v>
      </x:c>
      <x:c r="H190" t="str">
        <x:v>EVI-PKG5-104</x:v>
      </x:c>
      <x:c r="I190" t="n">
        <x:v>0.99</x:v>
      </x:c>
      <x:c r="J190" t="n">
        <x:v>45292</x:v>
      </x:c>
      <x:c r="K190"/>
      <x:c r="L190" t="str">
        <x:v>{"role":"法定代表人"}</x:v>
      </x:c>
    </x:row>
    <x:row r="191">
      <x:c r="A191" t="str">
        <x:v>REL-PKG5-003</x:v>
      </x:c>
      <x:c r="B191" t="str">
        <x:v>PROC.personShareholderOfSupplier</x:v>
      </x:c>
      <x:c r="C191" t="str">
        <x:v>PER-CTRL-001</x:v>
      </x:c>
      <x:c r="D191" t="str">
        <x:v>SUP-C006</x:v>
      </x:c>
      <x:c r="E191" t="str">
        <x:v>CASE-004</x:v>
      </x:c>
      <x:c r="F191" t="str">
        <x:v>ExternalCorp</x:v>
      </x:c>
      <x:c r="G191" t="str">
        <x:v>SUP-C006</x:v>
      </x:c>
      <x:c r="H191" t="str">
        <x:v>EVI-PKG5-105</x:v>
      </x:c>
      <x:c r="I191" t="n">
        <x:v>0.98</x:v>
      </x:c>
      <x:c r="J191" t="n">
        <x:v>44927</x:v>
      </x:c>
      <x:c r="K191"/>
      <x:c r="L191" t="str">
        <x:v>{"share_ratio":0.42}</x:v>
      </x:c>
    </x:row>
    <x:row r="192">
      <x:c r="A192" t="str">
        <x:v>REL-PKG5-004</x:v>
      </x:c>
      <x:c r="B192" t="str">
        <x:v>PROC.personShareholderOfSupplier</x:v>
      </x:c>
      <x:c r="C192" t="str">
        <x:v>PER-CTRL-001</x:v>
      </x:c>
      <x:c r="D192" t="str">
        <x:v>SUP-C007</x:v>
      </x:c>
      <x:c r="E192" t="str">
        <x:v>CASE-004</x:v>
      </x:c>
      <x:c r="F192" t="str">
        <x:v>ExternalCorp</x:v>
      </x:c>
      <x:c r="G192" t="str">
        <x:v>SUP-C007</x:v>
      </x:c>
      <x:c r="H192" t="str">
        <x:v>EVI-PKG5-105</x:v>
      </x:c>
      <x:c r="I192" t="n">
        <x:v>0.98</x:v>
      </x:c>
      <x:c r="J192" t="n">
        <x:v>44927</x:v>
      </x:c>
      <x:c r="K192"/>
      <x:c r="L192" t="str">
        <x:v>{"share_ratio":0.38}</x:v>
      </x:c>
    </x:row>
    <x:row r="193">
      <x:c r="A193" t="str">
        <x:v>REL-PKG5-005</x:v>
      </x:c>
      <x:c r="B193" t="str">
        <x:v>PROC.personShareholderOfSupplier</x:v>
      </x:c>
      <x:c r="C193" t="str">
        <x:v>PER-CTRL-001</x:v>
      </x:c>
      <x:c r="D193" t="str">
        <x:v>SUP-C008</x:v>
      </x:c>
      <x:c r="E193" t="str">
        <x:v>CASE-004</x:v>
      </x:c>
      <x:c r="F193" t="str">
        <x:v>ExternalCorp</x:v>
      </x:c>
      <x:c r="G193" t="str">
        <x:v>SUP-C008</x:v>
      </x:c>
      <x:c r="H193" t="str">
        <x:v>EVI-PKG5-105</x:v>
      </x:c>
      <x:c r="I193" t="n">
        <x:v>0.98</x:v>
      </x:c>
      <x:c r="J193" t="n">
        <x:v>44927</x:v>
      </x:c>
      <x:c r="K193"/>
      <x:c r="L193" t="str">
        <x:v>{"share_ratio":0.31}</x:v>
      </x:c>
    </x:row>
    <x:row r="194">
      <x:c r="A194" t="str">
        <x:v>REL-PKG5-006</x:v>
      </x:c>
      <x:c r="B194" t="str">
        <x:v>PROC.supplierInvestsInSupplier</x:v>
      </x:c>
      <x:c r="C194" t="str">
        <x:v>SUP-C006</x:v>
      </x:c>
      <x:c r="D194" t="str">
        <x:v>SUP-C007</x:v>
      </x:c>
      <x:c r="E194" t="str">
        <x:v>CASE-004</x:v>
      </x:c>
      <x:c r="F194" t="str">
        <x:v>ExternalCorp</x:v>
      </x:c>
      <x:c r="G194" t="str">
        <x:v>INVEST-C006-C007</x:v>
      </x:c>
      <x:c r="H194" t="str">
        <x:v>EVI-PKG5-102</x:v>
      </x:c>
      <x:c r="I194" t="n">
        <x:v>0.98</x:v>
      </x:c>
      <x:c r="J194" t="n">
        <x:v>45292</x:v>
      </x:c>
      <x:c r="K194"/>
      <x:c r="L194" t="str">
        <x:v>{"share_ratio":0.35}</x:v>
      </x:c>
    </x:row>
    <x:row r="195">
      <x:c r="A195" t="str">
        <x:v>REL-PKG5-007</x:v>
      </x:c>
      <x:c r="B195" t="str">
        <x:v>PROC.supplierInvestsInSupplier</x:v>
      </x:c>
      <x:c r="C195" t="str">
        <x:v>SUP-C007</x:v>
      </x:c>
      <x:c r="D195" t="str">
        <x:v>SUP-C008</x:v>
      </x:c>
      <x:c r="E195" t="str">
        <x:v>CASE-004</x:v>
      </x:c>
      <x:c r="F195" t="str">
        <x:v>ExternalCorp</x:v>
      </x:c>
      <x:c r="G195" t="str">
        <x:v>INVEST-C007-C008</x:v>
      </x:c>
      <x:c r="H195" t="str">
        <x:v>EVI-PKG5-102</x:v>
      </x:c>
      <x:c r="I195" t="n">
        <x:v>0.97</x:v>
      </x:c>
      <x:c r="J195" t="n">
        <x:v>45352</x:v>
      </x:c>
      <x:c r="K195"/>
      <x:c r="L195" t="str">
        <x:v>{"share_ratio":0.2}</x:v>
      </x:c>
    </x:row>
    <x:row r="196">
      <x:c r="A196" t="str">
        <x:v>REL-PKG5-008</x:v>
      </x:c>
      <x:c r="B196" t="str">
        <x:v>PROC.supplierInvestsInSupplier</x:v>
      </x:c>
      <x:c r="C196" t="str">
        <x:v>SUP-C008</x:v>
      </x:c>
      <x:c r="D196" t="str">
        <x:v>SUP-C006</x:v>
      </x:c>
      <x:c r="E196" t="str">
        <x:v>CASE-004</x:v>
      </x:c>
      <x:c r="F196" t="str">
        <x:v>ExternalCorp</x:v>
      </x:c>
      <x:c r="G196" t="str">
        <x:v>INVEST-C008-C006</x:v>
      </x:c>
      <x:c r="H196" t="str">
        <x:v>EVI-PKG5-102</x:v>
      </x:c>
      <x:c r="I196" t="n">
        <x:v>0.96</x:v>
      </x:c>
      <x:c r="J196" t="n">
        <x:v>45444</x:v>
      </x:c>
      <x:c r="K196"/>
      <x:c r="L196" t="str">
        <x:v>{"share_ratio":0.1}</x:v>
      </x:c>
    </x:row>
    <x:row r="197">
      <x:c r="A197" t="str">
        <x:v>REL-PKG5-009</x:v>
      </x:c>
      <x:c r="B197" t="str">
        <x:v>PROC.personExecutiveAtSupplier</x:v>
      </x:c>
      <x:c r="C197" t="str">
        <x:v>PER-EXEC-004</x:v>
      </x:c>
      <x:c r="D197" t="str">
        <x:v>SUP-C007</x:v>
      </x:c>
      <x:c r="E197" t="str">
        <x:v>CASE-004</x:v>
      </x:c>
      <x:c r="F197" t="str">
        <x:v>ExternalCorp</x:v>
      </x:c>
      <x:c r="G197" t="str">
        <x:v>EXEC-C007</x:v>
      </x:c>
      <x:c r="H197" t="str">
        <x:v>EVI-PKG5-106</x:v>
      </x:c>
      <x:c r="I197" t="n">
        <x:v>0.99</x:v>
      </x:c>
      <x:c r="J197" t="n">
        <x:v>44927</x:v>
      </x:c>
      <x:c r="K197"/>
      <x:c r="L197" t="str">
        <x:v>{"position":"董事"}</x:v>
      </x:c>
    </x:row>
    <x:row r="198">
      <x:c r="A198" t="str">
        <x:v>REL-PKG5-010</x:v>
      </x:c>
      <x:c r="B198" t="str">
        <x:v>PROC.personExecutiveAtSupplier</x:v>
      </x:c>
      <x:c r="C198" t="str">
        <x:v>PER-EXEC-004</x:v>
      </x:c>
      <x:c r="D198" t="str">
        <x:v>SUP-C008</x:v>
      </x:c>
      <x:c r="E198" t="str">
        <x:v>CASE-004</x:v>
      </x:c>
      <x:c r="F198" t="str">
        <x:v>ExternalCorp</x:v>
      </x:c>
      <x:c r="G198" t="str">
        <x:v>EXEC-C008</x:v>
      </x:c>
      <x:c r="H198" t="str">
        <x:v>EVI-PKG5-106</x:v>
      </x:c>
      <x:c r="I198" t="n">
        <x:v>0.99</x:v>
      </x:c>
      <x:c r="J198" t="n">
        <x:v>44927</x:v>
      </x:c>
      <x:c r="K198"/>
      <x:c r="L198" t="str">
        <x:v>{"position":"监事"}</x:v>
      </x:c>
    </x:row>
    <x:row r="199">
      <x:c r="A199" t="str">
        <x:v>REL-PKG5-011</x:v>
      </x:c>
      <x:c r="B199" t="str">
        <x:v>PROC.supplierSubmitsBid</x:v>
      </x:c>
      <x:c r="C199" t="str">
        <x:v>SUP-C006</x:v>
      </x:c>
      <x:c r="D199" t="str">
        <x:v>BID-H001-A</x:v>
      </x:c>
      <x:c r="E199" t="str">
        <x:v>CASE-004</x:v>
      </x:c>
      <x:c r="F199" t="str">
        <x:v>EProcurement</x:v>
      </x:c>
      <x:c r="G199" t="str">
        <x:v>BID-H001-A</x:v>
      </x:c>
      <x:c r="H199" t="str">
        <x:v>EVI-PKG5-B03</x:v>
      </x:c>
      <x:c r="I199" t="n">
        <x:v>1</x:v>
      </x:c>
      <x:c r="J199" t="n">
        <x:v>45870</x:v>
      </x:c>
      <x:c r="K199"/>
      <x:c r="L199" t="str">
        <x:v>{}</x:v>
      </x:c>
    </x:row>
    <x:row r="200">
      <x:c r="A200" t="str">
        <x:v>REL-PKG5-012</x:v>
      </x:c>
      <x:c r="B200" t="str">
        <x:v>PROC.bidForProject</x:v>
      </x:c>
      <x:c r="C200" t="str">
        <x:v>BID-H001-A</x:v>
      </x:c>
      <x:c r="D200" t="str">
        <x:v>PRJ-HBID-001</x:v>
      </x:c>
      <x:c r="E200" t="str">
        <x:v>CASE-004</x:v>
      </x:c>
      <x:c r="F200" t="str">
        <x:v>EProcurement</x:v>
      </x:c>
      <x:c r="G200" t="str">
        <x:v>BID-H001-A</x:v>
      </x:c>
      <x:c r="H200" t="str">
        <x:v>EVI-PKG5-B03</x:v>
      </x:c>
      <x:c r="I200" t="n">
        <x:v>1</x:v>
      </x:c>
      <x:c r="J200" t="n">
        <x:v>45870</x:v>
      </x:c>
      <x:c r="K200"/>
      <x:c r="L200" t="str">
        <x:v>{}</x:v>
      </x:c>
    </x:row>
    <x:row r="201">
      <x:c r="A201" t="str">
        <x:v>REL-PKG5-013</x:v>
      </x:c>
      <x:c r="B201" t="str">
        <x:v>PROC.supplierSubmitsBid</x:v>
      </x:c>
      <x:c r="C201" t="str">
        <x:v>SUP-C007</x:v>
      </x:c>
      <x:c r="D201" t="str">
        <x:v>BID-H001-B</x:v>
      </x:c>
      <x:c r="E201" t="str">
        <x:v>CASE-004</x:v>
      </x:c>
      <x:c r="F201" t="str">
        <x:v>EProcurement</x:v>
      </x:c>
      <x:c r="G201" t="str">
        <x:v>BID-H001-B</x:v>
      </x:c>
      <x:c r="H201" t="str">
        <x:v>EVI-PKG5-B03</x:v>
      </x:c>
      <x:c r="I201" t="n">
        <x:v>1</x:v>
      </x:c>
      <x:c r="J201" t="n">
        <x:v>45870</x:v>
      </x:c>
      <x:c r="K201"/>
      <x:c r="L201" t="str">
        <x:v>{}</x:v>
      </x:c>
    </x:row>
    <x:row r="202">
      <x:c r="A202" t="str">
        <x:v>REL-PKG5-014</x:v>
      </x:c>
      <x:c r="B202" t="str">
        <x:v>PROC.bidForProject</x:v>
      </x:c>
      <x:c r="C202" t="str">
        <x:v>BID-H001-B</x:v>
      </x:c>
      <x:c r="D202" t="str">
        <x:v>PRJ-HBID-001</x:v>
      </x:c>
      <x:c r="E202" t="str">
        <x:v>CASE-004</x:v>
      </x:c>
      <x:c r="F202" t="str">
        <x:v>EProcurement</x:v>
      </x:c>
      <x:c r="G202" t="str">
        <x:v>BID-H001-B</x:v>
      </x:c>
      <x:c r="H202" t="str">
        <x:v>EVI-PKG5-B03</x:v>
      </x:c>
      <x:c r="I202" t="n">
        <x:v>1</x:v>
      </x:c>
      <x:c r="J202" t="n">
        <x:v>45870</x:v>
      </x:c>
      <x:c r="K202"/>
      <x:c r="L202" t="str">
        <x:v>{}</x:v>
      </x:c>
    </x:row>
    <x:row r="203">
      <x:c r="A203" t="str">
        <x:v>REL-PKG5-015</x:v>
      </x:c>
      <x:c r="B203" t="str">
        <x:v>PROC.supplierSubmitsBid</x:v>
      </x:c>
      <x:c r="C203" t="str">
        <x:v>SUP-C008</x:v>
      </x:c>
      <x:c r="D203" t="str">
        <x:v>BID-H001-C</x:v>
      </x:c>
      <x:c r="E203" t="str">
        <x:v>CASE-004</x:v>
      </x:c>
      <x:c r="F203" t="str">
        <x:v>EProcurement</x:v>
      </x:c>
      <x:c r="G203" t="str">
        <x:v>BID-H001-C</x:v>
      </x:c>
      <x:c r="H203" t="str">
        <x:v>EVI-PKG5-B03</x:v>
      </x:c>
      <x:c r="I203" t="n">
        <x:v>1</x:v>
      </x:c>
      <x:c r="J203" t="n">
        <x:v>45870</x:v>
      </x:c>
      <x:c r="K203"/>
      <x:c r="L203" t="str">
        <x:v>{}</x:v>
      </x:c>
    </x:row>
    <x:row r="204">
      <x:c r="A204" t="str">
        <x:v>REL-PKG5-016</x:v>
      </x:c>
      <x:c r="B204" t="str">
        <x:v>PROC.bidForProject</x:v>
      </x:c>
      <x:c r="C204" t="str">
        <x:v>BID-H001-C</x:v>
      </x:c>
      <x:c r="D204" t="str">
        <x:v>PRJ-HBID-001</x:v>
      </x:c>
      <x:c r="E204" t="str">
        <x:v>CASE-004</x:v>
      </x:c>
      <x:c r="F204" t="str">
        <x:v>EProcurement</x:v>
      </x:c>
      <x:c r="G204" t="str">
        <x:v>BID-H001-C</x:v>
      </x:c>
      <x:c r="H204" t="str">
        <x:v>EVI-PKG5-B03</x:v>
      </x:c>
      <x:c r="I204" t="n">
        <x:v>1</x:v>
      </x:c>
      <x:c r="J204" t="n">
        <x:v>45870</x:v>
      </x:c>
      <x:c r="K204"/>
      <x:c r="L204" t="str">
        <x:v>{}</x:v>
      </x:c>
    </x:row>
    <x:row r="205">
      <x:c r="A205" t="str">
        <x:v>REL-PKG5-017</x:v>
      </x:c>
      <x:c r="B205" t="str">
        <x:v>PROC.supplierSubmitsBid</x:v>
      </x:c>
      <x:c r="C205" t="str">
        <x:v>SUP-C006</x:v>
      </x:c>
      <x:c r="D205" t="str">
        <x:v>BID-H002-A</x:v>
      </x:c>
      <x:c r="E205" t="str">
        <x:v>CASE-004</x:v>
      </x:c>
      <x:c r="F205" t="str">
        <x:v>EProcurement</x:v>
      </x:c>
      <x:c r="G205" t="str">
        <x:v>BID-H002-A</x:v>
      </x:c>
      <x:c r="H205" t="str">
        <x:v>EVI-PKG5-B03</x:v>
      </x:c>
      <x:c r="I205" t="n">
        <x:v>1</x:v>
      </x:c>
      <x:c r="J205" t="n">
        <x:v>45870</x:v>
      </x:c>
      <x:c r="K205"/>
      <x:c r="L205" t="str">
        <x:v>{}</x:v>
      </x:c>
    </x:row>
    <x:row r="206">
      <x:c r="A206" t="str">
        <x:v>REL-PKG5-018</x:v>
      </x:c>
      <x:c r="B206" t="str">
        <x:v>PROC.bidForProject</x:v>
      </x:c>
      <x:c r="C206" t="str">
        <x:v>BID-H002-A</x:v>
      </x:c>
      <x:c r="D206" t="str">
        <x:v>PRJ-HBID-002</x:v>
      </x:c>
      <x:c r="E206" t="str">
        <x:v>CASE-004</x:v>
      </x:c>
      <x:c r="F206" t="str">
        <x:v>EProcurement</x:v>
      </x:c>
      <x:c r="G206" t="str">
        <x:v>BID-H002-A</x:v>
      </x:c>
      <x:c r="H206" t="str">
        <x:v>EVI-PKG5-B03</x:v>
      </x:c>
      <x:c r="I206" t="n">
        <x:v>1</x:v>
      </x:c>
      <x:c r="J206" t="n">
        <x:v>45870</x:v>
      </x:c>
      <x:c r="K206"/>
      <x:c r="L206" t="str">
        <x:v>{}</x:v>
      </x:c>
    </x:row>
    <x:row r="207">
      <x:c r="A207" t="str">
        <x:v>REL-PKG5-019</x:v>
      </x:c>
      <x:c r="B207" t="str">
        <x:v>PROC.supplierSubmitsBid</x:v>
      </x:c>
      <x:c r="C207" t="str">
        <x:v>SUP-C007</x:v>
      </x:c>
      <x:c r="D207" t="str">
        <x:v>BID-H002-B</x:v>
      </x:c>
      <x:c r="E207" t="str">
        <x:v>CASE-004</x:v>
      </x:c>
      <x:c r="F207" t="str">
        <x:v>EProcurement</x:v>
      </x:c>
      <x:c r="G207" t="str">
        <x:v>BID-H002-B</x:v>
      </x:c>
      <x:c r="H207" t="str">
        <x:v>EVI-PKG5-B03</x:v>
      </x:c>
      <x:c r="I207" t="n">
        <x:v>1</x:v>
      </x:c>
      <x:c r="J207" t="n">
        <x:v>45870</x:v>
      </x:c>
      <x:c r="K207"/>
      <x:c r="L207" t="str">
        <x:v>{}</x:v>
      </x:c>
    </x:row>
    <x:row r="208">
      <x:c r="A208" t="str">
        <x:v>REL-PKG5-020</x:v>
      </x:c>
      <x:c r="B208" t="str">
        <x:v>PROC.bidForProject</x:v>
      </x:c>
      <x:c r="C208" t="str">
        <x:v>BID-H002-B</x:v>
      </x:c>
      <x:c r="D208" t="str">
        <x:v>PRJ-HBID-002</x:v>
      </x:c>
      <x:c r="E208" t="str">
        <x:v>CASE-004</x:v>
      </x:c>
      <x:c r="F208" t="str">
        <x:v>EProcurement</x:v>
      </x:c>
      <x:c r="G208" t="str">
        <x:v>BID-H002-B</x:v>
      </x:c>
      <x:c r="H208" t="str">
        <x:v>EVI-PKG5-B03</x:v>
      </x:c>
      <x:c r="I208" t="n">
        <x:v>1</x:v>
      </x:c>
      <x:c r="J208" t="n">
        <x:v>45870</x:v>
      </x:c>
      <x:c r="K208"/>
      <x:c r="L208" t="str">
        <x:v>{}</x:v>
      </x:c>
    </x:row>
    <x:row r="209">
      <x:c r="A209" t="str">
        <x:v>REL-PKG5-021</x:v>
      </x:c>
      <x:c r="B209" t="str">
        <x:v>PROC.supplierSubmitsBid</x:v>
      </x:c>
      <x:c r="C209" t="str">
        <x:v>SUP-C008</x:v>
      </x:c>
      <x:c r="D209" t="str">
        <x:v>BID-H002-C</x:v>
      </x:c>
      <x:c r="E209" t="str">
        <x:v>CASE-004</x:v>
      </x:c>
      <x:c r="F209" t="str">
        <x:v>EProcurement</x:v>
      </x:c>
      <x:c r="G209" t="str">
        <x:v>BID-H002-C</x:v>
      </x:c>
      <x:c r="H209" t="str">
        <x:v>EVI-PKG5-B03</x:v>
      </x:c>
      <x:c r="I209" t="n">
        <x:v>1</x:v>
      </x:c>
      <x:c r="J209" t="n">
        <x:v>45870</x:v>
      </x:c>
      <x:c r="K209"/>
      <x:c r="L209" t="str">
        <x:v>{}</x:v>
      </x:c>
    </x:row>
    <x:row r="210">
      <x:c r="A210" t="str">
        <x:v>REL-PKG5-022</x:v>
      </x:c>
      <x:c r="B210" t="str">
        <x:v>PROC.bidForProject</x:v>
      </x:c>
      <x:c r="C210" t="str">
        <x:v>BID-H002-C</x:v>
      </x:c>
      <x:c r="D210" t="str">
        <x:v>PRJ-HBID-002</x:v>
      </x:c>
      <x:c r="E210" t="str">
        <x:v>CASE-004</x:v>
      </x:c>
      <x:c r="F210" t="str">
        <x:v>EProcurement</x:v>
      </x:c>
      <x:c r="G210" t="str">
        <x:v>BID-H002-C</x:v>
      </x:c>
      <x:c r="H210" t="str">
        <x:v>EVI-PKG5-B03</x:v>
      </x:c>
      <x:c r="I210" t="n">
        <x:v>1</x:v>
      </x:c>
      <x:c r="J210" t="n">
        <x:v>45870</x:v>
      </x:c>
      <x:c r="K210"/>
      <x:c r="L210" t="str">
        <x:v>{}</x:v>
      </x:c>
    </x:row>
    <x:row r="211">
      <x:c r="A211" t="str">
        <x:v>REL-PKG5-023</x:v>
      </x:c>
      <x:c r="B211" t="str">
        <x:v>PROC.supplierSubmitsBid</x:v>
      </x:c>
      <x:c r="C211" t="str">
        <x:v>SUP-C006</x:v>
      </x:c>
      <x:c r="D211" t="str">
        <x:v>BID-H003-A</x:v>
      </x:c>
      <x:c r="E211" t="str">
        <x:v>CASE-004</x:v>
      </x:c>
      <x:c r="F211" t="str">
        <x:v>EProcurement</x:v>
      </x:c>
      <x:c r="G211" t="str">
        <x:v>BID-H003-A</x:v>
      </x:c>
      <x:c r="H211" t="str">
        <x:v>EVI-PKG5-B03</x:v>
      </x:c>
      <x:c r="I211" t="n">
        <x:v>1</x:v>
      </x:c>
      <x:c r="J211" t="n">
        <x:v>45870</x:v>
      </x:c>
      <x:c r="K211"/>
      <x:c r="L211" t="str">
        <x:v>{}</x:v>
      </x:c>
    </x:row>
    <x:row r="212">
      <x:c r="A212" t="str">
        <x:v>REL-PKG5-024</x:v>
      </x:c>
      <x:c r="B212" t="str">
        <x:v>PROC.bidForProject</x:v>
      </x:c>
      <x:c r="C212" t="str">
        <x:v>BID-H003-A</x:v>
      </x:c>
      <x:c r="D212" t="str">
        <x:v>PRJ-HBID-003</x:v>
      </x:c>
      <x:c r="E212" t="str">
        <x:v>CASE-004</x:v>
      </x:c>
      <x:c r="F212" t="str">
        <x:v>EProcurement</x:v>
      </x:c>
      <x:c r="G212" t="str">
        <x:v>BID-H003-A</x:v>
      </x:c>
      <x:c r="H212" t="str">
        <x:v>EVI-PKG5-B03</x:v>
      </x:c>
      <x:c r="I212" t="n">
        <x:v>1</x:v>
      </x:c>
      <x:c r="J212" t="n">
        <x:v>45870</x:v>
      </x:c>
      <x:c r="K212"/>
      <x:c r="L212" t="str">
        <x:v>{}</x:v>
      </x:c>
    </x:row>
    <x:row r="213">
      <x:c r="A213" t="str">
        <x:v>REL-PKG5-025</x:v>
      </x:c>
      <x:c r="B213" t="str">
        <x:v>PROC.supplierSubmitsBid</x:v>
      </x:c>
      <x:c r="C213" t="str">
        <x:v>SUP-C007</x:v>
      </x:c>
      <x:c r="D213" t="str">
        <x:v>BID-H003-B</x:v>
      </x:c>
      <x:c r="E213" t="str">
        <x:v>CASE-004</x:v>
      </x:c>
      <x:c r="F213" t="str">
        <x:v>EProcurement</x:v>
      </x:c>
      <x:c r="G213" t="str">
        <x:v>BID-H003-B</x:v>
      </x:c>
      <x:c r="H213" t="str">
        <x:v>EVI-PKG5-B03</x:v>
      </x:c>
      <x:c r="I213" t="n">
        <x:v>1</x:v>
      </x:c>
      <x:c r="J213" t="n">
        <x:v>45870</x:v>
      </x:c>
      <x:c r="K213"/>
      <x:c r="L213" t="str">
        <x:v>{}</x:v>
      </x:c>
    </x:row>
    <x:row r="214">
      <x:c r="A214" t="str">
        <x:v>REL-PKG5-026</x:v>
      </x:c>
      <x:c r="B214" t="str">
        <x:v>PROC.bidForProject</x:v>
      </x:c>
      <x:c r="C214" t="str">
        <x:v>BID-H003-B</x:v>
      </x:c>
      <x:c r="D214" t="str">
        <x:v>PRJ-HBID-003</x:v>
      </x:c>
      <x:c r="E214" t="str">
        <x:v>CASE-004</x:v>
      </x:c>
      <x:c r="F214" t="str">
        <x:v>EProcurement</x:v>
      </x:c>
      <x:c r="G214" t="str">
        <x:v>BID-H003-B</x:v>
      </x:c>
      <x:c r="H214" t="str">
        <x:v>EVI-PKG5-B03</x:v>
      </x:c>
      <x:c r="I214" t="n">
        <x:v>1</x:v>
      </x:c>
      <x:c r="J214" t="n">
        <x:v>45870</x:v>
      </x:c>
      <x:c r="K214"/>
      <x:c r="L214" t="str">
        <x:v>{}</x:v>
      </x:c>
    </x:row>
    <x:row r="215">
      <x:c r="A215" t="str">
        <x:v>REL-PKG5-027</x:v>
      </x:c>
      <x:c r="B215" t="str">
        <x:v>PROC.supplierSubmitsBid</x:v>
      </x:c>
      <x:c r="C215" t="str">
        <x:v>SUP-C008</x:v>
      </x:c>
      <x:c r="D215" t="str">
        <x:v>BID-H003-C</x:v>
      </x:c>
      <x:c r="E215" t="str">
        <x:v>CASE-004</x:v>
      </x:c>
      <x:c r="F215" t="str">
        <x:v>EProcurement</x:v>
      </x:c>
      <x:c r="G215" t="str">
        <x:v>BID-H003-C</x:v>
      </x:c>
      <x:c r="H215" t="str">
        <x:v>EVI-PKG5-B03</x:v>
      </x:c>
      <x:c r="I215" t="n">
        <x:v>1</x:v>
      </x:c>
      <x:c r="J215" t="n">
        <x:v>45870</x:v>
      </x:c>
      <x:c r="K215"/>
      <x:c r="L215" t="str">
        <x:v>{}</x:v>
      </x:c>
    </x:row>
    <x:row r="216">
      <x:c r="A216" t="str">
        <x:v>REL-PKG5-028</x:v>
      </x:c>
      <x:c r="B216" t="str">
        <x:v>PROC.bidForProject</x:v>
      </x:c>
      <x:c r="C216" t="str">
        <x:v>BID-H003-C</x:v>
      </x:c>
      <x:c r="D216" t="str">
        <x:v>PRJ-HBID-003</x:v>
      </x:c>
      <x:c r="E216" t="str">
        <x:v>CASE-004</x:v>
      </x:c>
      <x:c r="F216" t="str">
        <x:v>EProcurement</x:v>
      </x:c>
      <x:c r="G216" t="str">
        <x:v>BID-H003-C</x:v>
      </x:c>
      <x:c r="H216" t="str">
        <x:v>EVI-PKG5-B03</x:v>
      </x:c>
      <x:c r="I216" t="n">
        <x:v>1</x:v>
      </x:c>
      <x:c r="J216" t="n">
        <x:v>45870</x:v>
      </x:c>
      <x:c r="K216"/>
      <x:c r="L216" t="str">
        <x:v>{}</x:v>
      </x:c>
    </x:row>
    <x:row r="217">
      <x:c r="A217" t="str">
        <x:v>REL-PKG5-029</x:v>
      </x:c>
      <x:c r="B217" t="str">
        <x:v>PROC.bidHasEvaluation</x:v>
      </x:c>
      <x:c r="C217" t="str">
        <x:v>BID-003A</x:v>
      </x:c>
      <x:c r="D217" t="str">
        <x:v>EVAL-003A</x:v>
      </x:c>
      <x:c r="E217" t="str">
        <x:v>CASE-003</x:v>
      </x:c>
      <x:c r="F217" t="str">
        <x:v>AI-Evaluation</x:v>
      </x:c>
      <x:c r="G217" t="str">
        <x:v>EVAL-003A</x:v>
      </x:c>
      <x:c r="H217" t="str">
        <x:v>EVI-PKG5-M101</x:v>
      </x:c>
      <x:c r="I217" t="n">
        <x:v>1</x:v>
      </x:c>
      <x:c r="J217" t="n">
        <x:v>46172</x:v>
      </x:c>
      <x:c r="K217"/>
      <x:c r="L217" t="str">
        <x:v>{}</x:v>
      </x:c>
    </x:row>
    <x:row r="218">
      <x:c r="A218" t="str">
        <x:v>REL-PKG5-030</x:v>
      </x:c>
      <x:c r="B218" t="str">
        <x:v>PROC.evaluationOfSupplier</x:v>
      </x:c>
      <x:c r="C218" t="str">
        <x:v>EVAL-003A</x:v>
      </x:c>
      <x:c r="D218" t="str">
        <x:v>SUP-C003</x:v>
      </x:c>
      <x:c r="E218" t="str">
        <x:v>CASE-003</x:v>
      </x:c>
      <x:c r="F218" t="str">
        <x:v>AI-Evaluation</x:v>
      </x:c>
      <x:c r="G218" t="str">
        <x:v>EVAL-003A</x:v>
      </x:c>
      <x:c r="H218" t="str">
        <x:v>EVI-PKG5-M101</x:v>
      </x:c>
      <x:c r="I218" t="n">
        <x:v>1</x:v>
      </x:c>
      <x:c r="J218" t="n">
        <x:v>46172</x:v>
      </x:c>
      <x:c r="K218"/>
      <x:c r="L218" t="str">
        <x:v>{}</x:v>
      </x:c>
    </x:row>
    <x:row r="219">
      <x:c r="A219" t="str">
        <x:v>REL-PKG5-031</x:v>
      </x:c>
      <x:c r="B219" t="str">
        <x:v>PROC.bidHasEvaluation</x:v>
      </x:c>
      <x:c r="C219" t="str">
        <x:v>BID-003B</x:v>
      </x:c>
      <x:c r="D219" t="str">
        <x:v>EVAL-003B</x:v>
      </x:c>
      <x:c r="E219" t="str">
        <x:v>CASE-003</x:v>
      </x:c>
      <x:c r="F219" t="str">
        <x:v>AI-Evaluation</x:v>
      </x:c>
      <x:c r="G219" t="str">
        <x:v>EVAL-003B</x:v>
      </x:c>
      <x:c r="H219" t="str">
        <x:v>EVI-PKG5-M101</x:v>
      </x:c>
      <x:c r="I219" t="n">
        <x:v>1</x:v>
      </x:c>
      <x:c r="J219" t="n">
        <x:v>46172</x:v>
      </x:c>
      <x:c r="K219"/>
      <x:c r="L219" t="str">
        <x:v>{}</x:v>
      </x:c>
    </x:row>
    <x:row r="220">
      <x:c r="A220" t="str">
        <x:v>REL-PKG5-032</x:v>
      </x:c>
      <x:c r="B220" t="str">
        <x:v>PROC.evaluationOfSupplier</x:v>
      </x:c>
      <x:c r="C220" t="str">
        <x:v>EVAL-003B</x:v>
      </x:c>
      <x:c r="D220" t="str">
        <x:v>SUP-C004</x:v>
      </x:c>
      <x:c r="E220" t="str">
        <x:v>CASE-003</x:v>
      </x:c>
      <x:c r="F220" t="str">
        <x:v>AI-Evaluation</x:v>
      </x:c>
      <x:c r="G220" t="str">
        <x:v>EVAL-003B</x:v>
      </x:c>
      <x:c r="H220" t="str">
        <x:v>EVI-PKG5-M101</x:v>
      </x:c>
      <x:c r="I220" t="n">
        <x:v>1</x:v>
      </x:c>
      <x:c r="J220" t="n">
        <x:v>46172</x:v>
      </x:c>
      <x:c r="K220"/>
      <x:c r="L220" t="str">
        <x:v>{}</x:v>
      </x:c>
    </x:row>
    <x:row r="221">
      <x:c r="A221" t="str">
        <x:v>REL-PKG5-033</x:v>
      </x:c>
      <x:c r="B221" t="str">
        <x:v>PROC.bidHasEvaluation</x:v>
      </x:c>
      <x:c r="C221" t="str">
        <x:v>BID-003C</x:v>
      </x:c>
      <x:c r="D221" t="str">
        <x:v>EVAL-003C</x:v>
      </x:c>
      <x:c r="E221" t="str">
        <x:v>CASE-003</x:v>
      </x:c>
      <x:c r="F221" t="str">
        <x:v>AI-Evaluation</x:v>
      </x:c>
      <x:c r="G221" t="str">
        <x:v>EVAL-003C</x:v>
      </x:c>
      <x:c r="H221" t="str">
        <x:v>EVI-PKG5-M101</x:v>
      </x:c>
      <x:c r="I221" t="n">
        <x:v>1</x:v>
      </x:c>
      <x:c r="J221" t="n">
        <x:v>46172</x:v>
      </x:c>
      <x:c r="K221"/>
      <x:c r="L221" t="str">
        <x:v>{}</x:v>
      </x:c>
    </x:row>
    <x:row r="222">
      <x:c r="A222" t="str">
        <x:v>REL-PKG5-034</x:v>
      </x:c>
      <x:c r="B222" t="str">
        <x:v>PROC.evaluationOfSupplier</x:v>
      </x:c>
      <x:c r="C222" t="str">
        <x:v>EVAL-003C</x:v>
      </x:c>
      <x:c r="D222" t="str">
        <x:v>SUP-C005</x:v>
      </x:c>
      <x:c r="E222" t="str">
        <x:v>CASE-003</x:v>
      </x:c>
      <x:c r="F222" t="str">
        <x:v>AI-Evaluation</x:v>
      </x:c>
      <x:c r="G222" t="str">
        <x:v>EVAL-003C</x:v>
      </x:c>
      <x:c r="H222" t="str">
        <x:v>EVI-PKG5-M101</x:v>
      </x:c>
      <x:c r="I222" t="n">
        <x:v>1</x:v>
      </x:c>
      <x:c r="J222" t="n">
        <x:v>46172</x:v>
      </x:c>
      <x:c r="K222"/>
      <x:c r="L222" t="str">
        <x:v>{}</x:v>
      </x:c>
    </x:row>
    <x:row r="223">
      <x:c r="A223" t="str">
        <x:v>REL-PKG5-035</x:v>
      </x:c>
      <x:c r="B223" t="str">
        <x:v>PROC.bidHasEvaluation</x:v>
      </x:c>
      <x:c r="C223" t="str">
        <x:v>BID-004A</x:v>
      </x:c>
      <x:c r="D223" t="str">
        <x:v>EVAL-004A</x:v>
      </x:c>
      <x:c r="E223" t="str">
        <x:v>CASE-004</x:v>
      </x:c>
      <x:c r="F223" t="str">
        <x:v>AI-Evaluation</x:v>
      </x:c>
      <x:c r="G223" t="str">
        <x:v>EVAL-004A</x:v>
      </x:c>
      <x:c r="H223" t="str">
        <x:v>EVI-PKG5-M101</x:v>
      </x:c>
      <x:c r="I223" t="n">
        <x:v>1</x:v>
      </x:c>
      <x:c r="J223" t="n">
        <x:v>46172</x:v>
      </x:c>
      <x:c r="K223"/>
      <x:c r="L223" t="str">
        <x:v>{}</x:v>
      </x:c>
    </x:row>
    <x:row r="224">
      <x:c r="A224" t="str">
        <x:v>REL-PKG5-036</x:v>
      </x:c>
      <x:c r="B224" t="str">
        <x:v>PROC.evaluationOfSupplier</x:v>
      </x:c>
      <x:c r="C224" t="str">
        <x:v>EVAL-004A</x:v>
      </x:c>
      <x:c r="D224" t="str">
        <x:v>SUP-C006</x:v>
      </x:c>
      <x:c r="E224" t="str">
        <x:v>CASE-004</x:v>
      </x:c>
      <x:c r="F224" t="str">
        <x:v>AI-Evaluation</x:v>
      </x:c>
      <x:c r="G224" t="str">
        <x:v>EVAL-004A</x:v>
      </x:c>
      <x:c r="H224" t="str">
        <x:v>EVI-PKG5-M101</x:v>
      </x:c>
      <x:c r="I224" t="n">
        <x:v>1</x:v>
      </x:c>
      <x:c r="J224" t="n">
        <x:v>46172</x:v>
      </x:c>
      <x:c r="K224"/>
      <x:c r="L224" t="str">
        <x:v>{}</x:v>
      </x:c>
    </x:row>
    <x:row r="225">
      <x:c r="A225" t="str">
        <x:v>REL-PKG5-037</x:v>
      </x:c>
      <x:c r="B225" t="str">
        <x:v>PROC.bidHasEvaluation</x:v>
      </x:c>
      <x:c r="C225" t="str">
        <x:v>BID-004B</x:v>
      </x:c>
      <x:c r="D225" t="str">
        <x:v>EVAL-004B</x:v>
      </x:c>
      <x:c r="E225" t="str">
        <x:v>CASE-004</x:v>
      </x:c>
      <x:c r="F225" t="str">
        <x:v>AI-Evaluation</x:v>
      </x:c>
      <x:c r="G225" t="str">
        <x:v>EVAL-004B</x:v>
      </x:c>
      <x:c r="H225" t="str">
        <x:v>EVI-PKG5-M101</x:v>
      </x:c>
      <x:c r="I225" t="n">
        <x:v>1</x:v>
      </x:c>
      <x:c r="J225" t="n">
        <x:v>46172</x:v>
      </x:c>
      <x:c r="K225"/>
      <x:c r="L225" t="str">
        <x:v>{}</x:v>
      </x:c>
    </x:row>
    <x:row r="226">
      <x:c r="A226" t="str">
        <x:v>REL-PKG5-038</x:v>
      </x:c>
      <x:c r="B226" t="str">
        <x:v>PROC.evaluationOfSupplier</x:v>
      </x:c>
      <x:c r="C226" t="str">
        <x:v>EVAL-004B</x:v>
      </x:c>
      <x:c r="D226" t="str">
        <x:v>SUP-C007</x:v>
      </x:c>
      <x:c r="E226" t="str">
        <x:v>CASE-004</x:v>
      </x:c>
      <x:c r="F226" t="str">
        <x:v>AI-Evaluation</x:v>
      </x:c>
      <x:c r="G226" t="str">
        <x:v>EVAL-004B</x:v>
      </x:c>
      <x:c r="H226" t="str">
        <x:v>EVI-PKG5-M101</x:v>
      </x:c>
      <x:c r="I226" t="n">
        <x:v>1</x:v>
      </x:c>
      <x:c r="J226" t="n">
        <x:v>46172</x:v>
      </x:c>
      <x:c r="K226"/>
      <x:c r="L226" t="str">
        <x:v>{}</x:v>
      </x:c>
    </x:row>
    <x:row r="227">
      <x:c r="A227" t="str">
        <x:v>REL-PKG5-039</x:v>
      </x:c>
      <x:c r="B227" t="str">
        <x:v>PROC.bidHasEvaluation</x:v>
      </x:c>
      <x:c r="C227" t="str">
        <x:v>BID-004C</x:v>
      </x:c>
      <x:c r="D227" t="str">
        <x:v>EVAL-004C</x:v>
      </x:c>
      <x:c r="E227" t="str">
        <x:v>CASE-004</x:v>
      </x:c>
      <x:c r="F227" t="str">
        <x:v>AI-Evaluation</x:v>
      </x:c>
      <x:c r="G227" t="str">
        <x:v>EVAL-004C</x:v>
      </x:c>
      <x:c r="H227" t="str">
        <x:v>EVI-PKG5-M101</x:v>
      </x:c>
      <x:c r="I227" t="n">
        <x:v>1</x:v>
      </x:c>
      <x:c r="J227" t="n">
        <x:v>46172</x:v>
      </x:c>
      <x:c r="K227"/>
      <x:c r="L227" t="str">
        <x:v>{}</x:v>
      </x:c>
    </x:row>
    <x:row r="228">
      <x:c r="A228" t="str">
        <x:v>REL-PKG5-040</x:v>
      </x:c>
      <x:c r="B228" t="str">
        <x:v>PROC.evaluationOfSupplier</x:v>
      </x:c>
      <x:c r="C228" t="str">
        <x:v>EVAL-004C</x:v>
      </x:c>
      <x:c r="D228" t="str">
        <x:v>SUP-C008</x:v>
      </x:c>
      <x:c r="E228" t="str">
        <x:v>CASE-004</x:v>
      </x:c>
      <x:c r="F228" t="str">
        <x:v>AI-Evaluation</x:v>
      </x:c>
      <x:c r="G228" t="str">
        <x:v>EVAL-004C</x:v>
      </x:c>
      <x:c r="H228" t="str">
        <x:v>EVI-PKG5-M101</x:v>
      </x:c>
      <x:c r="I228" t="n">
        <x:v>1</x:v>
      </x:c>
      <x:c r="J228" t="n">
        <x:v>46172</x:v>
      </x:c>
      <x:c r="K228"/>
      <x:c r="L228" t="str">
        <x:v>{}</x:v>
      </x:c>
    </x:row>
    <x:row r="229">
      <x:c r="A229" t="str">
        <x:v>REL-PKG1-001</x:v>
      </x:c>
      <x:c r="B229" t="str">
        <x:v>PROC.contractSellerOrganization</x:v>
      </x:c>
      <x:c r="C229" t="str">
        <x:v>CON-SALE-006A</x:v>
      </x:c>
      <x:c r="D229" t="str">
        <x:v>ORG-AFFIL</x:v>
      </x:c>
      <x:c r="E229" t="str">
        <x:v>CASE-006</x:v>
      </x:c>
      <x:c r="F229" t="str">
        <x:v>ContractSystem</x:v>
      </x:c>
      <x:c r="G229" t="str">
        <x:v>CON-SALE-006A</x:v>
      </x:c>
      <x:c r="H229" t="str">
        <x:v>EVI-PKG1-101</x:v>
      </x:c>
      <x:c r="I229" t="n">
        <x:v>1</x:v>
      </x:c>
      <x:c r="J229" t="n">
        <x:v>46153.083333333336</x:v>
      </x:c>
      <x:c r="K229"/>
      <x:c r="L229" t="str">
        <x:v>{}</x:v>
      </x:c>
    </x:row>
    <x:row r="230">
      <x:c r="A230" t="str">
        <x:v>REL-PKG1-002</x:v>
      </x:c>
      <x:c r="B230" t="str">
        <x:v>PROC.contractSellerOrganization</x:v>
      </x:c>
      <x:c r="C230" t="str">
        <x:v>CON-SALE-006B</x:v>
      </x:c>
      <x:c r="D230" t="str">
        <x:v>ORG-INFRA</x:v>
      </x:c>
      <x:c r="E230" t="str">
        <x:v>CASE-006</x:v>
      </x:c>
      <x:c r="F230" t="str">
        <x:v>ContractSystem</x:v>
      </x:c>
      <x:c r="G230" t="str">
        <x:v>CON-SALE-006B</x:v>
      </x:c>
      <x:c r="H230" t="str">
        <x:v>EVI-PKG1-103</x:v>
      </x:c>
      <x:c r="I230" t="n">
        <x:v>1</x:v>
      </x:c>
      <x:c r="J230" t="n">
        <x:v>46154.083333333336</x:v>
      </x:c>
      <x:c r="K230"/>
      <x:c r="L230" t="str">
        <x:v>{}</x:v>
      </x:c>
    </x:row>
    <x:row r="231">
      <x:c r="A231" t="str">
        <x:v>REL-PKG1-003</x:v>
      </x:c>
      <x:c r="B231" t="str">
        <x:v>PROC.contractBuyerCustomer</x:v>
      </x:c>
      <x:c r="C231" t="str">
        <x:v>CON-SALE-006A</x:v>
      </x:c>
      <x:c r="D231" t="str">
        <x:v>CUST-C006</x:v>
      </x:c>
      <x:c r="E231" t="str">
        <x:v>CASE-006</x:v>
      </x:c>
      <x:c r="F231" t="str">
        <x:v>ContractSystem</x:v>
      </x:c>
      <x:c r="G231" t="str">
        <x:v>CON-SALE-006A</x:v>
      </x:c>
      <x:c r="H231" t="str">
        <x:v>EVI-PKG1-101</x:v>
      </x:c>
      <x:c r="I231" t="n">
        <x:v>1</x:v>
      </x:c>
      <x:c r="J231" t="n">
        <x:v>46153.083333333336</x:v>
      </x:c>
      <x:c r="K231"/>
      <x:c r="L231" t="str">
        <x:v>{}</x:v>
      </x:c>
    </x:row>
    <x:row r="232">
      <x:c r="A232" t="str">
        <x:v>REL-PKG1-004</x:v>
      </x:c>
      <x:c r="B232" t="str">
        <x:v>PROC.contractBuyerCustomer</x:v>
      </x:c>
      <x:c r="C232" t="str">
        <x:v>CON-SALE-006B</x:v>
      </x:c>
      <x:c r="D232" t="str">
        <x:v>CUST-C006</x:v>
      </x:c>
      <x:c r="E232" t="str">
        <x:v>CASE-006</x:v>
      </x:c>
      <x:c r="F232" t="str">
        <x:v>ContractSystem</x:v>
      </x:c>
      <x:c r="G232" t="str">
        <x:v>CON-SALE-006B</x:v>
      </x:c>
      <x:c r="H232" t="str">
        <x:v>EVI-PKG1-103</x:v>
      </x:c>
      <x:c r="I232" t="n">
        <x:v>1</x:v>
      </x:c>
      <x:c r="J232" t="n">
        <x:v>46154.083333333336</x:v>
      </x:c>
      <x:c r="K232"/>
      <x:c r="L232" t="str">
        <x:v>{}</x:v>
      </x:c>
    </x:row>
    <x:row r="233">
      <x:c r="A233" t="str">
        <x:v>REL-PKG1-005</x:v>
      </x:c>
      <x:c r="B233" t="str">
        <x:v>PROC.contractCoversItem</x:v>
      </x:c>
      <x:c r="C233" t="str">
        <x:v>CON-006</x:v>
      </x:c>
      <x:c r="D233" t="str">
        <x:v>ITEM-C006</x:v>
      </x:c>
      <x:c r="E233" t="str">
        <x:v>CASE-006</x:v>
      </x:c>
      <x:c r="F233" t="str">
        <x:v>ContractSystem</x:v>
      </x:c>
      <x:c r="G233" t="str">
        <x:v>CON-006</x:v>
      </x:c>
      <x:c r="H233" t="str">
        <x:v>EVI-PKG1-202</x:v>
      </x:c>
      <x:c r="I233" t="n">
        <x:v>1</x:v>
      </x:c>
      <x:c r="J233" t="n">
        <x:v>46152</x:v>
      </x:c>
      <x:c r="K233"/>
      <x:c r="L233" t="str">
        <x:v>{"quantity":60}</x:v>
      </x:c>
    </x:row>
    <x:row r="234">
      <x:c r="A234" t="str">
        <x:v>REL-PKG1-006</x:v>
      </x:c>
      <x:c r="B234" t="str">
        <x:v>PROC.contractCoversItem</x:v>
      </x:c>
      <x:c r="C234" t="str">
        <x:v>CON-SALE-006A</x:v>
      </x:c>
      <x:c r="D234" t="str">
        <x:v>ITEM-C006</x:v>
      </x:c>
      <x:c r="E234" t="str">
        <x:v>CASE-006</x:v>
      </x:c>
      <x:c r="F234" t="str">
        <x:v>ContractSystem</x:v>
      </x:c>
      <x:c r="G234" t="str">
        <x:v>CON-SALE-006A</x:v>
      </x:c>
      <x:c r="H234" t="str">
        <x:v>EVI-PKG1-202</x:v>
      </x:c>
      <x:c r="I234" t="n">
        <x:v>1</x:v>
      </x:c>
      <x:c r="J234" t="n">
        <x:v>46152</x:v>
      </x:c>
      <x:c r="K234"/>
      <x:c r="L234" t="str">
        <x:v>{"quantity":60}</x:v>
      </x:c>
    </x:row>
    <x:row r="235">
      <x:c r="A235" t="str">
        <x:v>REL-PKG1-007</x:v>
      </x:c>
      <x:c r="B235" t="str">
        <x:v>PROC.contractCoversItem</x:v>
      </x:c>
      <x:c r="C235" t="str">
        <x:v>CON-SALE-006B</x:v>
      </x:c>
      <x:c r="D235" t="str">
        <x:v>ITEM-C006</x:v>
      </x:c>
      <x:c r="E235" t="str">
        <x:v>CASE-006</x:v>
      </x:c>
      <x:c r="F235" t="str">
        <x:v>ContractSystem</x:v>
      </x:c>
      <x:c r="G235" t="str">
        <x:v>CON-SALE-006B</x:v>
      </x:c>
      <x:c r="H235" t="str">
        <x:v>EVI-PKG1-202</x:v>
      </x:c>
      <x:c r="I235" t="n">
        <x:v>1</x:v>
      </x:c>
      <x:c r="J235" t="n">
        <x:v>46152</x:v>
      </x:c>
      <x:c r="K235"/>
      <x:c r="L235" t="str">
        <x:v>{"quantity":60}</x:v>
      </x:c>
    </x:row>
    <x:row r="236">
      <x:c r="A236" t="str">
        <x:v>REL-PKG1-008</x:v>
      </x:c>
      <x:c r="B236" t="str">
        <x:v>PROC.invoiceForContract</x:v>
      </x:c>
      <x:c r="C236" t="str">
        <x:v>INV-SALE-006A</x:v>
      </x:c>
      <x:c r="D236" t="str">
        <x:v>CON-SALE-006A</x:v>
      </x:c>
      <x:c r="E236" t="str">
        <x:v>CASE-006</x:v>
      </x:c>
      <x:c r="F236" t="str">
        <x:v>InvoicePlatform</x:v>
      </x:c>
      <x:c r="G236" t="str">
        <x:v>INV-SALE-006A</x:v>
      </x:c>
      <x:c r="H236" t="str">
        <x:v>EVI-PKG1-503</x:v>
      </x:c>
      <x:c r="I236" t="n">
        <x:v>1</x:v>
      </x:c>
      <x:c r="J236" t="n">
        <x:v>46159.125</x:v>
      </x:c>
      <x:c r="K236"/>
      <x:c r="L236" t="str">
        <x:v>{}</x:v>
      </x:c>
    </x:row>
    <x:row r="237">
      <x:c r="A237" t="str">
        <x:v>REL-PKG1-009</x:v>
      </x:c>
      <x:c r="B237" t="str">
        <x:v>PROC.invoiceForContract</x:v>
      </x:c>
      <x:c r="C237" t="str">
        <x:v>INV-SALE-006B</x:v>
      </x:c>
      <x:c r="D237" t="str">
        <x:v>CON-SALE-006B</x:v>
      </x:c>
      <x:c r="E237" t="str">
        <x:v>CASE-006</x:v>
      </x:c>
      <x:c r="F237" t="str">
        <x:v>InvoicePlatform</x:v>
      </x:c>
      <x:c r="G237" t="str">
        <x:v>INV-SALE-006B</x:v>
      </x:c>
      <x:c r="H237" t="str">
        <x:v>EVI-PKG1-503</x:v>
      </x:c>
      <x:c r="I237" t="n">
        <x:v>1</x:v>
      </x:c>
      <x:c r="J237" t="n">
        <x:v>46159.12847222222</x:v>
      </x:c>
      <x:c r="K237"/>
      <x:c r="L237" t="str">
        <x:v>{}</x:v>
      </x:c>
    </x:row>
    <x:row r="238">
      <x:c r="A238" t="str">
        <x:v>REL-PKG1-010</x:v>
      </x:c>
      <x:c r="B238" t="str">
        <x:v>PROC.invoiceIssuedByOrganization</x:v>
      </x:c>
      <x:c r="C238" t="str">
        <x:v>INV-SALE-006A</x:v>
      </x:c>
      <x:c r="D238" t="str">
        <x:v>ORG-AFFIL</x:v>
      </x:c>
      <x:c r="E238" t="str">
        <x:v>CASE-006</x:v>
      </x:c>
      <x:c r="F238" t="str">
        <x:v>InvoicePlatform</x:v>
      </x:c>
      <x:c r="G238" t="str">
        <x:v>INV-SALE-006A</x:v>
      </x:c>
      <x:c r="H238" t="str">
        <x:v>EVI-PKG1-503</x:v>
      </x:c>
      <x:c r="I238" t="n">
        <x:v>1</x:v>
      </x:c>
      <x:c r="J238" t="n">
        <x:v>46159.125</x:v>
      </x:c>
      <x:c r="K238"/>
      <x:c r="L238" t="str">
        <x:v>{}</x:v>
      </x:c>
    </x:row>
    <x:row r="239">
      <x:c r="A239" t="str">
        <x:v>REL-PKG1-011</x:v>
      </x:c>
      <x:c r="B239" t="str">
        <x:v>PROC.invoiceIssuedByOrganization</x:v>
      </x:c>
      <x:c r="C239" t="str">
        <x:v>INV-SALE-006B</x:v>
      </x:c>
      <x:c r="D239" t="str">
        <x:v>ORG-INFRA</x:v>
      </x:c>
      <x:c r="E239" t="str">
        <x:v>CASE-006</x:v>
      </x:c>
      <x:c r="F239" t="str">
        <x:v>InvoicePlatform</x:v>
      </x:c>
      <x:c r="G239" t="str">
        <x:v>INV-SALE-006B</x:v>
      </x:c>
      <x:c r="H239" t="str">
        <x:v>EVI-PKG1-503</x:v>
      </x:c>
      <x:c r="I239" t="n">
        <x:v>1</x:v>
      </x:c>
      <x:c r="J239" t="n">
        <x:v>46159.12847222222</x:v>
      </x:c>
      <x:c r="K239"/>
      <x:c r="L239" t="str">
        <x:v>{}</x:v>
      </x:c>
    </x:row>
    <x:row r="240">
      <x:c r="A240" t="str">
        <x:v>REL-PKG1-012</x:v>
      </x:c>
      <x:c r="B240" t="str">
        <x:v>PROC.paymentPaysInvoice</x:v>
      </x:c>
      <x:c r="C240" t="str">
        <x:v>PAY-COLLECT-006A</x:v>
      </x:c>
      <x:c r="D240" t="str">
        <x:v>INV-SALE-006A</x:v>
      </x:c>
      <x:c r="E240" t="str">
        <x:v>CASE-006</x:v>
      </x:c>
      <x:c r="F240" t="str">
        <x:v>BankFlow</x:v>
      </x:c>
      <x:c r="G240" t="str">
        <x:v>PAY-COLLECT-006A</x:v>
      </x:c>
      <x:c r="H240" t="str">
        <x:v>EVI-PKG1-501</x:v>
      </x:c>
      <x:c r="I240" t="n">
        <x:v>1</x:v>
      </x:c>
      <x:c r="J240" t="n">
        <x:v>46160.38888888889</x:v>
      </x:c>
      <x:c r="K240"/>
      <x:c r="L240" t="str">
        <x:v>{}</x:v>
      </x:c>
    </x:row>
    <x:row r="241">
      <x:c r="A241" t="str">
        <x:v>REL-PKG1-013</x:v>
      </x:c>
      <x:c r="B241" t="str">
        <x:v>PROC.paymentPaysInvoice</x:v>
      </x:c>
      <x:c r="C241" t="str">
        <x:v>PAY-COLLECT-006B</x:v>
      </x:c>
      <x:c r="D241" t="str">
        <x:v>INV-SALE-006A</x:v>
      </x:c>
      <x:c r="E241" t="str">
        <x:v>CASE-006</x:v>
      </x:c>
      <x:c r="F241" t="str">
        <x:v>BankFlow</x:v>
      </x:c>
      <x:c r="G241" t="str">
        <x:v>PAY-COLLECT-006B</x:v>
      </x:c>
      <x:c r="H241" t="str">
        <x:v>EVI-PKG1-501</x:v>
      </x:c>
      <x:c r="I241" t="n">
        <x:v>1</x:v>
      </x:c>
      <x:c r="J241" t="n">
        <x:v>46162.083333333336</x:v>
      </x:c>
      <x:c r="K241"/>
      <x:c r="L241" t="str">
        <x:v>{}</x:v>
      </x:c>
    </x:row>
    <x:row r="242">
      <x:c r="A242" t="str">
        <x:v>REL-PKG1-014</x:v>
      </x:c>
      <x:c r="B242" t="str">
        <x:v>PROC.paymentFromAccount</x:v>
      </x:c>
      <x:c r="C242" t="str">
        <x:v>PAY-COLLECT-006A</x:v>
      </x:c>
      <x:c r="D242" t="str">
        <x:v>BA-SUP10</x:v>
      </x:c>
      <x:c r="E242" t="str">
        <x:v>CASE-006</x:v>
      </x:c>
      <x:c r="F242" t="str">
        <x:v>BankFlow</x:v>
      </x:c>
      <x:c r="G242" t="str">
        <x:v>PAY-COLLECT-006A</x:v>
      </x:c>
      <x:c r="H242" t="str">
        <x:v>EVI-PKG1-605</x:v>
      </x:c>
      <x:c r="I242" t="n">
        <x:v>1</x:v>
      </x:c>
      <x:c r="J242" t="n">
        <x:v>46160.38888888889</x:v>
      </x:c>
      <x:c r="K242"/>
      <x:c r="L242" t="str">
        <x:v>{}</x:v>
      </x:c>
    </x:row>
    <x:row r="243">
      <x:c r="A243" t="str">
        <x:v>REL-PKG1-015</x:v>
      </x:c>
      <x:c r="B243" t="str">
        <x:v>PROC.paymentFromAccount</x:v>
      </x:c>
      <x:c r="C243" t="str">
        <x:v>PAY-COLLECT-006B</x:v>
      </x:c>
      <x:c r="D243" t="str">
        <x:v>BA-SUP10</x:v>
      </x:c>
      <x:c r="E243" t="str">
        <x:v>CASE-006</x:v>
      </x:c>
      <x:c r="F243" t="str">
        <x:v>BankFlow</x:v>
      </x:c>
      <x:c r="G243" t="str">
        <x:v>PAY-COLLECT-006B</x:v>
      </x:c>
      <x:c r="H243" t="str">
        <x:v>EVI-PKG1-605</x:v>
      </x:c>
      <x:c r="I243" t="n">
        <x:v>1</x:v>
      </x:c>
      <x:c r="J243" t="n">
        <x:v>46162.083333333336</x:v>
      </x:c>
      <x:c r="K243"/>
      <x:c r="L243" t="str">
        <x:v>{}</x:v>
      </x:c>
    </x:row>
    <x:row r="244">
      <x:c r="A244" t="str">
        <x:v>REL-PKG1-016</x:v>
      </x:c>
      <x:c r="B244" t="str">
        <x:v>PROC.paymentToAccount</x:v>
      </x:c>
      <x:c r="C244" t="str">
        <x:v>PAY-COLLECT-006A</x:v>
      </x:c>
      <x:c r="D244" t="str">
        <x:v>BA-GROUP-006</x:v>
      </x:c>
      <x:c r="E244" t="str">
        <x:v>CASE-006</x:v>
      </x:c>
      <x:c r="F244" t="str">
        <x:v>BankFlow</x:v>
      </x:c>
      <x:c r="G244" t="str">
        <x:v>PAY-COLLECT-006A</x:v>
      </x:c>
      <x:c r="H244" t="str">
        <x:v>EVI-PKG1-503</x:v>
      </x:c>
      <x:c r="I244" t="n">
        <x:v>1</x:v>
      </x:c>
      <x:c r="J244" t="n">
        <x:v>46160.38888888889</x:v>
      </x:c>
      <x:c r="K244"/>
      <x:c r="L244" t="str">
        <x:v>{}</x:v>
      </x:c>
    </x:row>
    <x:row r="245">
      <x:c r="A245" t="str">
        <x:v>REL-PKG1-017</x:v>
      </x:c>
      <x:c r="B245" t="str">
        <x:v>PROC.paymentToAccount</x:v>
      </x:c>
      <x:c r="C245" t="str">
        <x:v>PAY-COLLECT-006B</x:v>
      </x:c>
      <x:c r="D245" t="str">
        <x:v>BA-GROUP-006</x:v>
      </x:c>
      <x:c r="E245" t="str">
        <x:v>CASE-006</x:v>
      </x:c>
      <x:c r="F245" t="str">
        <x:v>BankFlow</x:v>
      </x:c>
      <x:c r="G245" t="str">
        <x:v>PAY-COLLECT-006B</x:v>
      </x:c>
      <x:c r="H245" t="str">
        <x:v>EVI-PKG1-503</x:v>
      </x:c>
      <x:c r="I245" t="n">
        <x:v>1</x:v>
      </x:c>
      <x:c r="J245" t="n">
        <x:v>46162.083333333336</x:v>
      </x:c>
      <x:c r="K245"/>
      <x:c r="L245" t="str">
        <x:v>{}</x:v>
      </x:c>
    </x:row>
    <x:row r="246">
      <x:c r="A246" t="str">
        <x:v>REL-PKG1-018</x:v>
      </x:c>
      <x:c r="B246" t="str">
        <x:v>PROC.customerUsesAccount</x:v>
      </x:c>
      <x:c r="C246" t="str">
        <x:v>CUST-C006</x:v>
      </x:c>
      <x:c r="D246" t="str">
        <x:v>BA-SUP10</x:v>
      </x:c>
      <x:c r="E246" t="str">
        <x:v>CASE-006</x:v>
      </x:c>
      <x:c r="F246" t="str">
        <x:v>BankFlow</x:v>
      </x:c>
      <x:c r="G246" t="str">
        <x:v>BA-SUP10</x:v>
      </x:c>
      <x:c r="H246" t="str">
        <x:v>EVI-PKG1-605</x:v>
      </x:c>
      <x:c r="I246" t="n">
        <x:v>0.99</x:v>
      </x:c>
      <x:c r="J246" t="n">
        <x:v>46143</x:v>
      </x:c>
      <x:c r="K246"/>
      <x:c r="L246" t="str">
        <x:v>{"role":"下游回款账户"}</x:v>
      </x:c>
    </x:row>
    <x:row r="247">
      <x:c r="A247" t="str">
        <x:v>REL-PKG1-019</x:v>
      </x:c>
      <x:c r="B247" t="str">
        <x:v>PROC.personControlsCustomer</x:v>
      </x:c>
      <x:c r="C247" t="str">
        <x:v>PER-TRD-CTRL-006</x:v>
      </x:c>
      <x:c r="D247" t="str">
        <x:v>CUST-C006</x:v>
      </x:c>
      <x:c r="E247" t="str">
        <x:v>CASE-006</x:v>
      </x:c>
      <x:c r="F247" t="str">
        <x:v>ExternalCorp</x:v>
      </x:c>
      <x:c r="G247" t="str">
        <x:v>CUST-C006</x:v>
      </x:c>
      <x:c r="H247" t="str">
        <x:v>EVI-PKG1-401</x:v>
      </x:c>
      <x:c r="I247" t="n">
        <x:v>0.98</x:v>
      </x:c>
      <x:c r="J247" t="n">
        <x:v>43831</x:v>
      </x:c>
      <x:c r="K247"/>
      <x:c r="L247" t="str">
        <x:v>{}</x:v>
      </x:c>
    </x:row>
    <x:row r="248">
      <x:c r="A248" t="str">
        <x:v>REL-PKG1-020</x:v>
      </x:c>
      <x:c r="B248" t="str">
        <x:v>PROC.personControlsSupplier</x:v>
      </x:c>
      <x:c r="C248" t="str">
        <x:v>PER-TRD-CTRL-006</x:v>
      </x:c>
      <x:c r="D248" t="str">
        <x:v>SUP-C010</x:v>
      </x:c>
      <x:c r="E248" t="str">
        <x:v>CASE-006</x:v>
      </x:c>
      <x:c r="F248" t="str">
        <x:v>ExternalCorp</x:v>
      </x:c>
      <x:c r="G248" t="str">
        <x:v>SUP-C010</x:v>
      </x:c>
      <x:c r="H248" t="str">
        <x:v>EVI-PKG1-401</x:v>
      </x:c>
      <x:c r="I248" t="n">
        <x:v>0.98</x:v>
      </x:c>
      <x:c r="J248" t="n">
        <x:v>43831</x:v>
      </x:c>
      <x:c r="K248"/>
      <x:c r="L248" t="str">
        <x:v>{}</x:v>
      </x:c>
    </x:row>
    <x:row r="249">
      <x:c r="A249" t="str">
        <x:v>REL-PKG1-021</x:v>
      </x:c>
      <x:c r="B249" t="str">
        <x:v>PROC.supplierSameEntityAsCustomer</x:v>
      </x:c>
      <x:c r="C249" t="str">
        <x:v>SUP-C010</x:v>
      </x:c>
      <x:c r="D249" t="str">
        <x:v>CUST-C006</x:v>
      </x:c>
      <x:c r="E249" t="str">
        <x:v>CASE-006</x:v>
      </x:c>
      <x:c r="F249" t="str">
        <x:v>EntityResolution</x:v>
      </x:c>
      <x:c r="G249" t="str">
        <x:v>SUP-C010-CUST-C006</x:v>
      </x:c>
      <x:c r="H249" t="str">
        <x:v>EVI-PKG1-401</x:v>
      </x:c>
      <x:c r="I249" t="n">
        <x:v>1</x:v>
      </x:c>
      <x:c r="J249" t="n">
        <x:v>46143</x:v>
      </x:c>
      <x:c r="K249"/>
      <x:c r="L249" t="str">
        <x:v>{"credit_code":"91320100DEMO0010X"}</x:v>
      </x:c>
    </x:row>
    <x:row r="250">
      <x:c r="A250" t="str">
        <x:v>REL-PKG1-022</x:v>
      </x:c>
      <x:c r="B250" t="str">
        <x:v>PROC.contractHasReceivable</x:v>
      </x:c>
      <x:c r="C250" t="str">
        <x:v>CON-SALE-006A</x:v>
      </x:c>
      <x:c r="D250" t="str">
        <x:v>AR-006A</x:v>
      </x:c>
      <x:c r="E250" t="str">
        <x:v>CASE-006</x:v>
      </x:c>
      <x:c r="F250" t="str">
        <x:v>Finance</x:v>
      </x:c>
      <x:c r="G250" t="str">
        <x:v>AR-006A</x:v>
      </x:c>
      <x:c r="H250" t="str">
        <x:v>EVI-PKG1-501</x:v>
      </x:c>
      <x:c r="I250" t="n">
        <x:v>1</x:v>
      </x:c>
      <x:c r="J250" t="n">
        <x:v>46159.166666666664</x:v>
      </x:c>
      <x:c r="K250"/>
      <x:c r="L250" t="str">
        <x:v>{}</x:v>
      </x:c>
    </x:row>
    <x:row r="251">
      <x:c r="A251" t="str">
        <x:v>REL-PKG1-023</x:v>
      </x:c>
      <x:c r="B251" t="str">
        <x:v>PROC.contractHasPrepayment</x:v>
      </x:c>
      <x:c r="C251" t="str">
        <x:v>CON-006</x:v>
      </x:c>
      <x:c r="D251" t="str">
        <x:v>PP-006A</x:v>
      </x:c>
      <x:c r="E251" t="str">
        <x:v>CASE-006</x:v>
      </x:c>
      <x:c r="F251" t="str">
        <x:v>Finance</x:v>
      </x:c>
      <x:c r="G251" t="str">
        <x:v>PP-006A</x:v>
      </x:c>
      <x:c r="H251" t="str">
        <x:v>EVI-PKG1-501</x:v>
      </x:c>
      <x:c r="I251" t="n">
        <x:v>1</x:v>
      </x:c>
      <x:c r="J251" t="n">
        <x:v>46154.166666666664</x:v>
      </x:c>
      <x:c r="K251"/>
      <x:c r="L251" t="str">
        <x:v>{}</x:v>
      </x:c>
    </x:row>
    <x:row r="252">
      <x:c r="A252" t="str">
        <x:v>REL-PKG1-024</x:v>
      </x:c>
      <x:c r="B252" t="str">
        <x:v>PROC.accountOwnedByOrganization</x:v>
      </x:c>
      <x:c r="C252" t="str">
        <x:v>BA-GROUP-006</x:v>
      </x:c>
      <x:c r="D252" t="str">
        <x:v>ORG-INFRA</x:v>
      </x:c>
      <x:c r="E252" t="str">
        <x:v>CASE-006</x:v>
      </x:c>
      <x:c r="F252" t="str">
        <x:v>Treasury</x:v>
      </x:c>
      <x:c r="G252" t="str">
        <x:v>BA-GROUP-006</x:v>
      </x:c>
      <x:c r="H252" t="str">
        <x:v>EVI-PKG1-503</x:v>
      </x:c>
      <x:c r="I252" t="n">
        <x:v>1</x:v>
      </x:c>
      <x:c r="J252" t="n">
        <x:v>43831</x:v>
      </x:c>
      <x:c r="K252"/>
      <x:c r="L252" t="str">
        <x:v>{}</x:v>
      </x:c>
    </x:row>
    <x:row r="253">
      <x:c r="A253" t="str">
        <x:v>REL-PKG1-025</x:v>
      </x:c>
      <x:c r="B253" t="str">
        <x:v>PROC.fundsTransferredTo</x:v>
      </x:c>
      <x:c r="C253" t="str">
        <x:v>BA-SUP10</x:v>
      </x:c>
      <x:c r="D253" t="str">
        <x:v>BA-GROUP-006</x:v>
      </x:c>
      <x:c r="E253" t="str">
        <x:v>CASE-006</x:v>
      </x:c>
      <x:c r="F253" t="str">
        <x:v>BankFlow</x:v>
      </x:c>
      <x:c r="G253" t="str">
        <x:v>FLOW-PKG1-006</x:v>
      </x:c>
      <x:c r="H253" t="str">
        <x:v>EVI-PKG1-606</x:v>
      </x:c>
      <x:c r="I253" t="n">
        <x:v>1</x:v>
      </x:c>
      <x:c r="J253" t="n">
        <x:v>46160.38888888889</x:v>
      </x:c>
      <x:c r="K253"/>
      <x:c r="L253" t="str">
        <x:v>{"transfer_amount":4620000,"difference_ratio":0.049382716}</x:v>
      </x:c>
    </x:row>
  </x:sheetData>
  <x:mergeCells>
    <x:mergeCell ref="A1:L1"/>
    <x:mergeCell ref="A2:L2"/>
  </x:mergeCells>
  <x:pageMargins left="0.7" right="0.7" top="0.75" bottom="0.75" header="0.3" footer="0.3"/>
  <x:tableParts count="1">
    <x:tablePart xmlns:r="http://schemas.openxmlformats.org/officeDocument/2006/relationships" r:id="R728c826bc9a84b9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26" hidden="0" customWidth="1"/>
    <x:col min="4" max="4" width="12" hidden="0" customWidth="1"/>
    <x:col min="5" max="5" width="16" hidden="0" customWidth="1"/>
    <x:col min="6" max="6" width="16" hidden="0" customWidth="1"/>
    <x:col min="7" max="7" width="16" hidden="0" customWidth="1"/>
    <x:col min="8" max="8" width="19" hidden="0" customWidth="1"/>
    <x:col min="9" max="9" width="14" hidden="0" customWidth="1"/>
    <x:col min="10" max="10" width="10" hidden="0" customWidth="1"/>
    <x:col min="11" max="11" width="18" hidden="0" customWidth="1"/>
    <x:col min="12" max="12" width="18" hidden="0" customWidth="1"/>
    <x:col min="13" max="13" width="48" hidden="0" customWidth="1"/>
  </x:cols>
  <x:sheetData>
    <x:row r="1" ht="34" customHeight="1">
      <x:c r="A1" s="4" t="str">
        <x:v>采购与供应链业务事件实例</x:v>
      </x:c>
      <x:c r="B1" s="4"/>
      <x:c r="C1" s="4"/>
      <x:c r="D1" s="4"/>
      <x:c r="E1" s="4"/>
      <x:c r="F1" s="4"/>
      <x:c r="G1" s="4"/>
      <x:c r="H1" s="4"/>
      <x:c r="I1" s="4"/>
      <x:c r="J1" s="4"/>
      <x:c r="K1" s="4"/>
      <x:c r="L1" s="4"/>
      <x:c r="M1" s="4"/>
    </x:row>
    <x:row r="2" ht="32" customHeight="1">
      <x:c r="A2" s="8" t="str">
        <x:v>事件按时间串起采购生命周期，可用于时序规则、聚合规则和事前/事中/事后预警。建议审批后新增 graph_events。</x:v>
      </x:c>
      <x:c r="B2" s="8"/>
      <x:c r="C2" s="8"/>
      <x:c r="D2" s="8"/>
      <x:c r="E2" s="8"/>
      <x:c r="F2" s="8"/>
      <x:c r="G2" s="8"/>
      <x:c r="H2" s="8"/>
      <x:c r="I2" s="8"/>
      <x:c r="J2" s="8"/>
      <x:c r="K2" s="8"/>
      <x:c r="L2" s="8"/>
      <x:c r="M2" s="8"/>
    </x:row>
    <x:row r="4" ht="32" customHeight="1">
      <x:c r="A4" s="85" t="str">
        <x:v>事件ID</x:v>
      </x:c>
      <x:c r="B4" s="86" t="str">
        <x:v>事件编码</x:v>
      </x:c>
      <x:c r="C4" s="86" t="str">
        <x:v>事件名称</x:v>
      </x:c>
      <x:c r="D4" s="86" t="str">
        <x:v>案例ID</x:v>
      </x:c>
      <x:c r="E4" s="86" t="str">
        <x:v>对象ID</x:v>
      </x:c>
      <x:c r="F4" s="86" t="str">
        <x:v>操作人ID</x:v>
      </x:c>
      <x:c r="G4" s="86" t="str">
        <x:v>组织ID</x:v>
      </x:c>
      <x:c r="H4" s="86" t="str">
        <x:v>事件时间</x:v>
      </x:c>
      <x:c r="I4" s="86" t="str">
        <x:v>金额（元）</x:v>
      </x:c>
      <x:c r="J4" s="86" t="str">
        <x:v>状态</x:v>
      </x:c>
      <x:c r="K4" s="86" t="str">
        <x:v>来源系统</x:v>
      </x:c>
      <x:c r="L4" s="86" t="str">
        <x:v>来源记录</x:v>
      </x:c>
      <x:c r="M4" s="87" t="str">
        <x:v>事件属性JSON</x:v>
      </x:c>
    </x:row>
    <x:row r="5">
      <x:c r="A5" s="30" t="str">
        <x:v>EVT-001-01</x:v>
      </x:c>
      <x:c r="B5" s="30" t="str">
        <x:v>PROC.DemandCreated</x:v>
      </x:c>
      <x:c r="C5" s="30" t="str">
        <x:v>智能算力需求创建</x:v>
      </x:c>
      <x:c r="D5" s="30" t="str">
        <x:v>CASE-001</x:v>
      </x:c>
      <x:c r="E5" s="30" t="str">
        <x:v>DMD-001</x:v>
      </x:c>
      <x:c r="F5" s="30" t="str">
        <x:v>PER-BUY-001</x:v>
      </x:c>
      <x:c r="G5" s="30" t="str">
        <x:v>ORG-INFRA</x:v>
      </x:c>
      <x:c r="H5" s="68" t="n">
        <x:v>46201.041666666664</x:v>
      </x:c>
      <x:c r="I5" s="36" t="n">
        <x:v>5280000</x:v>
      </x:c>
      <x:c r="J5" s="30" t="str">
        <x:v>完成</x:v>
      </x:c>
      <x:c r="K5" s="30" t="str">
        <x:v>ERP</x:v>
      </x:c>
      <x:c r="L5" s="30" t="str">
        <x:v>DMD-001</x:v>
      </x:c>
      <x:c r="M5" s="30" t="str">
        <x:v>{}</x:v>
      </x:c>
    </x:row>
    <x:row r="6">
      <x:c r="A6" s="31" t="str">
        <x:v>EVT-001-02</x:v>
      </x:c>
      <x:c r="B6" s="31" t="str">
        <x:v>PROC.BudgetApproved</x:v>
      </x:c>
      <x:c r="C6" s="31" t="str">
        <x:v>智能算力预算批复</x:v>
      </x:c>
      <x:c r="D6" s="31" t="str">
        <x:v>CASE-001</x:v>
      </x:c>
      <x:c r="E6" s="31" t="str">
        <x:v>BUD-001</x:v>
      </x:c>
      <x:c r="F6" s="31" t="str">
        <x:v>PER-BUD-001</x:v>
      </x:c>
      <x:c r="G6" s="31" t="str">
        <x:v>ORG-FIN</x:v>
      </x:c>
      <x:c r="H6" s="69" t="n">
        <x:v>46203.083333333336</x:v>
      </x:c>
      <x:c r="I6" s="37" t="n">
        <x:v>5500000</x:v>
      </x:c>
      <x:c r="J6" s="31" t="str">
        <x:v>完成</x:v>
      </x:c>
      <x:c r="K6" s="31" t="str">
        <x:v>OA</x:v>
      </x:c>
      <x:c r="L6" s="31" t="str">
        <x:v>BUD-001</x:v>
      </x:c>
      <x:c r="M6" s="31" t="str">
        <x:v>{}</x:v>
      </x:c>
    </x:row>
    <x:row r="7">
      <x:c r="A7" s="31" t="str">
        <x:v>EVT-001-03</x:v>
      </x:c>
      <x:c r="B7" s="31" t="str">
        <x:v>PROC.PlanApproved</x:v>
      </x:c>
      <x:c r="C7" s="31" t="str">
        <x:v>智能算力采购方案审批</x:v>
      </x:c>
      <x:c r="D7" s="31" t="str">
        <x:v>CASE-001</x:v>
      </x:c>
      <x:c r="E7" s="31" t="str">
        <x:v>PLAN-001</x:v>
      </x:c>
      <x:c r="F7" s="31" t="str">
        <x:v>PER-BUY-001</x:v>
      </x:c>
      <x:c r="G7" s="31" t="str">
        <x:v>ORG-INFRA</x:v>
      </x:c>
      <x:c r="H7" s="69" t="n">
        <x:v>46207.333333333336</x:v>
      </x:c>
      <x:c r="I7" s="37" t="n">
        <x:v>5280000</x:v>
      </x:c>
      <x:c r="J7" s="31" t="str">
        <x:v>完成</x:v>
      </x:c>
      <x:c r="K7" s="31" t="str">
        <x:v>OA</x:v>
      </x:c>
      <x:c r="L7" s="31" t="str">
        <x:v>PLAN-001</x:v>
      </x:c>
      <x:c r="M7" s="31" t="str">
        <x:v>{}</x:v>
      </x:c>
    </x:row>
    <x:row r="8">
      <x:c r="A8" s="31" t="str">
        <x:v>EVT-001-04</x:v>
      </x:c>
      <x:c r="B8" s="31" t="str">
        <x:v>PROC.ProcurementMethodChosen</x:v>
      </x:c>
      <x:c r="C8" s="31" t="str">
        <x:v>选择竞争性谈判</x:v>
      </x:c>
      <x:c r="D8" s="31" t="str">
        <x:v>CASE-001</x:v>
      </x:c>
      <x:c r="E8" s="31" t="str">
        <x:v>PLAN-001</x:v>
      </x:c>
      <x:c r="F8" s="31" t="str">
        <x:v>PER-BUY-001</x:v>
      </x:c>
      <x:c r="G8" s="31" t="str">
        <x:v>ORG-INFRA</x:v>
      </x:c>
      <x:c r="H8" s="69" t="n">
        <x:v>46208.041666666664</x:v>
      </x:c>
      <x:c r="I8" s="37" t="n">
        <x:v>5280000</x:v>
      </x:c>
      <x:c r="J8" s="31" t="str">
        <x:v>异常</x:v>
      </x:c>
      <x:c r="K8" s="31" t="str">
        <x:v>ERP</x:v>
      </x:c>
      <x:c r="L8" s="31" t="str">
        <x:v>PLAN-001</x:v>
      </x:c>
      <x:c r="M8" s="31" t="str">
        <x:v>{"exception_approval_no":""}</x:v>
      </x:c>
    </x:row>
    <x:row r="9">
      <x:c r="A9" s="31" t="str">
        <x:v>EVT-002-01</x:v>
      </x:c>
      <x:c r="B9" s="31" t="str">
        <x:v>PROC.DemandCreated</x:v>
      </x:c>
      <x:c r="C9" s="31" t="str">
        <x:v>办公终端集中需求创建</x:v>
      </x:c>
      <x:c r="D9" s="31" t="str">
        <x:v>CASE-002</x:v>
      </x:c>
      <x:c r="E9" s="31" t="str">
        <x:v>DMD-002</x:v>
      </x:c>
      <x:c r="F9" s="31" t="str">
        <x:v>PER-BUY-001</x:v>
      </x:c>
      <x:c r="G9" s="31" t="str">
        <x:v>ORG-PROC</x:v>
      </x:c>
      <x:c r="H9" s="69" t="n">
        <x:v>46174.041666666664</x:v>
      </x:c>
      <x:c r="I9" s="37" t="n">
        <x:v>2160000</x:v>
      </x:c>
      <x:c r="J9" s="31" t="str">
        <x:v>完成</x:v>
      </x:c>
      <x:c r="K9" s="31" t="str">
        <x:v>ERP</x:v>
      </x:c>
      <x:c r="L9" s="31" t="str">
        <x:v>DMD-002</x:v>
      </x:c>
      <x:c r="M9" s="31" t="str">
        <x:v>{}</x:v>
      </x:c>
    </x:row>
    <x:row r="10">
      <x:c r="A10" s="31" t="str">
        <x:v>EVT-002-02</x:v>
      </x:c>
      <x:c r="B10" s="31" t="str">
        <x:v>PROC.OrderIssued</x:v>
      </x:c>
      <x:c r="C10" s="31" t="str">
        <x:v>办公终端第一批订单</x:v>
      </x:c>
      <x:c r="D10" s="31" t="str">
        <x:v>CASE-002</x:v>
      </x:c>
      <x:c r="E10" s="31" t="str">
        <x:v>PO-002A</x:v>
      </x:c>
      <x:c r="F10" s="31" t="str">
        <x:v>PER-BUY-001</x:v>
      </x:c>
      <x:c r="G10" s="31" t="str">
        <x:v>ORG-PROC</x:v>
      </x:c>
      <x:c r="H10" s="69" t="n">
        <x:v>46184.083333333336</x:v>
      </x:c>
      <x:c r="I10" s="37" t="n">
        <x:v>720000</x:v>
      </x:c>
      <x:c r="J10" s="31" t="str">
        <x:v>完成</x:v>
      </x:c>
      <x:c r="K10" s="31" t="str">
        <x:v>ERP</x:v>
      </x:c>
      <x:c r="L10" s="31" t="str">
        <x:v>PO-002A</x:v>
      </x:c>
      <x:c r="M10" s="31" t="str">
        <x:v>{}</x:v>
      </x:c>
    </x:row>
    <x:row r="11">
      <x:c r="A11" s="31" t="str">
        <x:v>EVT-002-03</x:v>
      </x:c>
      <x:c r="B11" s="31" t="str">
        <x:v>PROC.OrderIssued</x:v>
      </x:c>
      <x:c r="C11" s="31" t="str">
        <x:v>办公终端第二批订单</x:v>
      </x:c>
      <x:c r="D11" s="31" t="str">
        <x:v>CASE-002</x:v>
      </x:c>
      <x:c r="E11" s="31" t="str">
        <x:v>PO-002B</x:v>
      </x:c>
      <x:c r="F11" s="31" t="str">
        <x:v>PER-BUY-001</x:v>
      </x:c>
      <x:c r="G11" s="31" t="str">
        <x:v>ORG-PROC</x:v>
      </x:c>
      <x:c r="H11" s="69" t="n">
        <x:v>46192.083333333336</x:v>
      </x:c>
      <x:c r="I11" s="37" t="n">
        <x:v>710000</x:v>
      </x:c>
      <x:c r="J11" s="31" t="str">
        <x:v>完成</x:v>
      </x:c>
      <x:c r="K11" s="31" t="str">
        <x:v>ERP</x:v>
      </x:c>
      <x:c r="L11" s="31" t="str">
        <x:v>PO-002B</x:v>
      </x:c>
      <x:c r="M11" s="31" t="str">
        <x:v>{}</x:v>
      </x:c>
    </x:row>
    <x:row r="12">
      <x:c r="A12" s="31" t="str">
        <x:v>EVT-002-04</x:v>
      </x:c>
      <x:c r="B12" s="31" t="str">
        <x:v>PROC.OrderIssued</x:v>
      </x:c>
      <x:c r="C12" s="31" t="str">
        <x:v>办公终端第三批订单</x:v>
      </x:c>
      <x:c r="D12" s="31" t="str">
        <x:v>CASE-002</x:v>
      </x:c>
      <x:c r="E12" s="31" t="str">
        <x:v>PO-002C</x:v>
      </x:c>
      <x:c r="F12" s="31" t="str">
        <x:v>PER-BUY-001</x:v>
      </x:c>
      <x:c r="G12" s="31" t="str">
        <x:v>ORG-PROC</x:v>
      </x:c>
      <x:c r="H12" s="69" t="n">
        <x:v>46202.083333333336</x:v>
      </x:c>
      <x:c r="I12" s="37" t="n">
        <x:v>730000</x:v>
      </x:c>
      <x:c r="J12" s="31" t="str">
        <x:v>完成</x:v>
      </x:c>
      <x:c r="K12" s="31" t="str">
        <x:v>ERP</x:v>
      </x:c>
      <x:c r="L12" s="31" t="str">
        <x:v>PO-002C</x:v>
      </x:c>
      <x:c r="M12" s="31" t="str">
        <x:v>{}</x:v>
      </x:c>
    </x:row>
    <x:row r="13">
      <x:c r="A13" s="31" t="str">
        <x:v>EVT-003-01</x:v>
      </x:c>
      <x:c r="B13" s="31" t="str">
        <x:v>PROC.TenderPublished</x:v>
      </x:c>
      <x:c r="C13" s="31" t="str">
        <x:v>数据中台招标公告发布</x:v>
      </x:c>
      <x:c r="D13" s="31" t="str">
        <x:v>CASE-003</x:v>
      </x:c>
      <x:c r="E13" s="31" t="str">
        <x:v>ANN-003</x:v>
      </x:c>
      <x:c r="F13" s="31" t="str">
        <x:v>PER-BUY-001</x:v>
      </x:c>
      <x:c r="G13" s="31" t="str">
        <x:v>ORG-DATA</x:v>
      </x:c>
      <x:c r="H13" s="69" t="n">
        <x:v>46174.041666666664</x:v>
      </x:c>
      <x:c r="I13" s="37" t="n">
        <x:v>8600000</x:v>
      </x:c>
      <x:c r="J13" s="31" t="str">
        <x:v>完成</x:v>
      </x:c>
      <x:c r="K13" s="31" t="str">
        <x:v>EProcurement</x:v>
      </x:c>
      <x:c r="L13" s="31" t="str">
        <x:v>ANN-003</x:v>
      </x:c>
      <x:c r="M13" s="31" t="str">
        <x:v>{}</x:v>
      </x:c>
    </x:row>
    <x:row r="14">
      <x:c r="A14" s="31" t="str">
        <x:v>EVT-003-02</x:v>
      </x:c>
      <x:c r="B14" s="31" t="str">
        <x:v>PROC.BidSubmitted</x:v>
      </x:c>
      <x:c r="C14" s="31" t="str">
        <x:v>华夏数智投标提交</x:v>
      </x:c>
      <x:c r="D14" s="31" t="str">
        <x:v>CASE-003</x:v>
      </x:c>
      <x:c r="E14" s="31" t="str">
        <x:v>BID-003A</x:v>
      </x:c>
      <x:c r="F14" s="31" t="str">
        <x:v>PER-SUP-001</x:v>
      </x:c>
      <x:c r="G14" s="31" t="str"/>
      <x:c r="H14" s="69" t="n">
        <x:v>46195.04305555556</x:v>
      </x:c>
      <x:c r="I14" s="37" t="n">
        <x:v>8420000</x:v>
      </x:c>
      <x:c r="J14" s="31" t="str">
        <x:v>完成</x:v>
      </x:c>
      <x:c r="K14" s="31" t="str">
        <x:v>EProcurement</x:v>
      </x:c>
      <x:c r="L14" s="31" t="str">
        <x:v>BID-003A</x:v>
      </x:c>
      <x:c r="M14" s="31" t="str">
        <x:v>{"ip_id":"IP-003-SHARED","device_id":"DEV-003-SHARED"}</x:v>
      </x:c>
    </x:row>
    <x:row r="15">
      <x:c r="A15" s="31" t="str">
        <x:v>EVT-003-03</x:v>
      </x:c>
      <x:c r="B15" s="31" t="str">
        <x:v>PROC.BidSubmitted</x:v>
      </x:c>
      <x:c r="C15" s="31" t="str">
        <x:v>中科云联投标提交</x:v>
      </x:c>
      <x:c r="D15" s="31" t="str">
        <x:v>CASE-003</x:v>
      </x:c>
      <x:c r="E15" s="31" t="str">
        <x:v>BID-003B</x:v>
      </x:c>
      <x:c r="F15" s="31" t="str">
        <x:v>PER-SUP-001</x:v>
      </x:c>
      <x:c r="G15" s="31" t="str"/>
      <x:c r="H15" s="69" t="n">
        <x:v>46195.04513888889</x:v>
      </x:c>
      <x:c r="I15" s="37" t="n">
        <x:v>8510000</x:v>
      </x:c>
      <x:c r="J15" s="31" t="str">
        <x:v>完成</x:v>
      </x:c>
      <x:c r="K15" s="31" t="str">
        <x:v>EProcurement</x:v>
      </x:c>
      <x:c r="L15" s="31" t="str">
        <x:v>BID-003B</x:v>
      </x:c>
      <x:c r="M15" s="31" t="str">
        <x:v>{"ip_id":"IP-003-SHARED","device_id":"DEV-003-SHARED"}</x:v>
      </x:c>
    </x:row>
    <x:row r="16">
      <x:c r="A16" s="31" t="str">
        <x:v>EVT-003-04</x:v>
      </x:c>
      <x:c r="B16" s="31" t="str">
        <x:v>PROC.BidSubmitted</x:v>
      </x:c>
      <x:c r="C16" s="31" t="str">
        <x:v>国信软件投标提交</x:v>
      </x:c>
      <x:c r="D16" s="31" t="str">
        <x:v>CASE-003</x:v>
      </x:c>
      <x:c r="E16" s="31" t="str">
        <x:v>BID-003C</x:v>
      </x:c>
      <x:c r="F16" s="31" t="str">
        <x:v>PER-SUP-001</x:v>
      </x:c>
      <x:c r="G16" s="31" t="str"/>
      <x:c r="H16" s="69" t="n">
        <x:v>46195.04722222222</x:v>
      </x:c>
      <x:c r="I16" s="37" t="n">
        <x:v>8560000</x:v>
      </x:c>
      <x:c r="J16" s="31" t="str">
        <x:v>完成</x:v>
      </x:c>
      <x:c r="K16" s="31" t="str">
        <x:v>EProcurement</x:v>
      </x:c>
      <x:c r="L16" s="31" t="str">
        <x:v>BID-003C</x:v>
      </x:c>
      <x:c r="M16" s="31" t="str">
        <x:v>{"ip_id":"IP-003-SHARED","device_id":"DEV-003-SHARED"}</x:v>
      </x:c>
    </x:row>
    <x:row r="17">
      <x:c r="A17" s="31" t="str">
        <x:v>EVT-003-05</x:v>
      </x:c>
      <x:c r="B17" s="31" t="str">
        <x:v>PROC.BidOpened</x:v>
      </x:c>
      <x:c r="C17" s="31" t="str">
        <x:v>数据中台项目开标</x:v>
      </x:c>
      <x:c r="D17" s="31" t="str">
        <x:v>CASE-003</x:v>
      </x:c>
      <x:c r="E17" s="31" t="str">
        <x:v>PRJ-003</x:v>
      </x:c>
      <x:c r="F17" s="31" t="str"/>
      <x:c r="G17" s="31" t="str">
        <x:v>ORG-DATA</x:v>
      </x:c>
      <x:c r="H17" s="69" t="n">
        <x:v>46196.041666666664</x:v>
      </x:c>
      <x:c r="I17" s="37"/>
      <x:c r="J17" s="31" t="str">
        <x:v>完成</x:v>
      </x:c>
      <x:c r="K17" s="31" t="str">
        <x:v>EProcurement</x:v>
      </x:c>
      <x:c r="L17" s="31" t="str">
        <x:v>OPEN-003</x:v>
      </x:c>
      <x:c r="M17" s="31" t="str">
        <x:v>{}</x:v>
      </x:c>
    </x:row>
    <x:row r="18">
      <x:c r="A18" s="31" t="str">
        <x:v>EVT-003-06</x:v>
      </x:c>
      <x:c r="B18" s="31" t="str">
        <x:v>PROC.BidConfirmed</x:v>
      </x:c>
      <x:c r="C18" s="31" t="str">
        <x:v>数据中台中标确认</x:v>
      </x:c>
      <x:c r="D18" s="31" t="str">
        <x:v>CASE-003</x:v>
      </x:c>
      <x:c r="E18" s="31" t="str">
        <x:v>AWD-003</x:v>
      </x:c>
      <x:c r="F18" s="31" t="str"/>
      <x:c r="G18" s="31" t="str">
        <x:v>ORG-DATA</x:v>
      </x:c>
      <x:c r="H18" s="69" t="n">
        <x:v>46201.083333333336</x:v>
      </x:c>
      <x:c r="I18" s="37" t="n">
        <x:v>8420000</x:v>
      </x:c>
      <x:c r="J18" s="31" t="str">
        <x:v>完成</x:v>
      </x:c>
      <x:c r="K18" s="31" t="str">
        <x:v>EProcurement</x:v>
      </x:c>
      <x:c r="L18" s="31" t="str">
        <x:v>AWD-003</x:v>
      </x:c>
      <x:c r="M18" s="31" t="str">
        <x:v>{}</x:v>
      </x:c>
    </x:row>
    <x:row r="19">
      <x:c r="A19" s="31" t="str">
        <x:v>EVT-004-01</x:v>
      </x:c>
      <x:c r="B19" s="31" t="str">
        <x:v>PROC.TenderPublished</x:v>
      </x:c>
      <x:c r="C19" s="31" t="str">
        <x:v>网络安全设备招标公告发布</x:v>
      </x:c>
      <x:c r="D19" s="31" t="str">
        <x:v>CASE-004</x:v>
      </x:c>
      <x:c r="E19" s="31" t="str">
        <x:v>ANN-004</x:v>
      </x:c>
      <x:c r="F19" s="31" t="str">
        <x:v>PER-BUY-001</x:v>
      </x:c>
      <x:c r="G19" s="31" t="str">
        <x:v>ORG-SEC</x:v>
      </x:c>
      <x:c r="H19" s="69" t="n">
        <x:v>46150.041666666664</x:v>
      </x:c>
      <x:c r="I19" s="37" t="n">
        <x:v>12400000</x:v>
      </x:c>
      <x:c r="J19" s="31" t="str">
        <x:v>完成</x:v>
      </x:c>
      <x:c r="K19" s="31" t="str">
        <x:v>EProcurement</x:v>
      </x:c>
      <x:c r="L19" s="31" t="str">
        <x:v>ANN-004</x:v>
      </x:c>
      <x:c r="M19" s="31" t="str">
        <x:v>{}</x:v>
      </x:c>
    </x:row>
    <x:row r="20">
      <x:c r="A20" s="31" t="str">
        <x:v>EVT-004-02</x:v>
      </x:c>
      <x:c r="B20" s="31" t="str">
        <x:v>PROC.BidSubmitted</x:v>
      </x:c>
      <x:c r="C20" s="31" t="str">
        <x:v>安信网络投标提交</x:v>
      </x:c>
      <x:c r="D20" s="31" t="str">
        <x:v>CASE-004</x:v>
      </x:c>
      <x:c r="E20" s="31" t="str">
        <x:v>BID-004A</x:v>
      </x:c>
      <x:c r="F20" s="31" t="str">
        <x:v>PER-CTRL-001</x:v>
      </x:c>
      <x:c r="G20" s="31" t="str"/>
      <x:c r="H20" s="69" t="n">
        <x:v>46171.22222222222</x:v>
      </x:c>
      <x:c r="I20" s="37" t="n">
        <x:v>12180000</x:v>
      </x:c>
      <x:c r="J20" s="31" t="str">
        <x:v>完成</x:v>
      </x:c>
      <x:c r="K20" s="31" t="str">
        <x:v>EProcurement</x:v>
      </x:c>
      <x:c r="L20" s="31" t="str">
        <x:v>BID-004A</x:v>
      </x:c>
      <x:c r="M20" s="31" t="str">
        <x:v>{}</x:v>
      </x:c>
    </x:row>
    <x:row r="21">
      <x:c r="A21" s="31" t="str">
        <x:v>EVT-004-03</x:v>
      </x:c>
      <x:c r="B21" s="31" t="str">
        <x:v>PROC.BidSubmitted</x:v>
      </x:c>
      <x:c r="C21" s="31" t="str">
        <x:v>博远信息投标提交</x:v>
      </x:c>
      <x:c r="D21" s="31" t="str">
        <x:v>CASE-004</x:v>
      </x:c>
      <x:c r="E21" s="31" t="str">
        <x:v>BID-004B</x:v>
      </x:c>
      <x:c r="F21" s="31" t="str">
        <x:v>PER-CTRL-001</x:v>
      </x:c>
      <x:c r="G21" s="31" t="str"/>
      <x:c r="H21" s="69" t="n">
        <x:v>46171.225</x:v>
      </x:c>
      <x:c r="I21" s="37" t="n">
        <x:v>12210000</x:v>
      </x:c>
      <x:c r="J21" s="31" t="str">
        <x:v>完成</x:v>
      </x:c>
      <x:c r="K21" s="31" t="str">
        <x:v>EProcurement</x:v>
      </x:c>
      <x:c r="L21" s="31" t="str">
        <x:v>BID-004B</x:v>
      </x:c>
      <x:c r="M21" s="31" t="str">
        <x:v>{}</x:v>
      </x:c>
    </x:row>
    <x:row r="22">
      <x:c r="A22" s="31" t="str">
        <x:v>EVT-004-04</x:v>
      </x:c>
      <x:c r="B22" s="31" t="str">
        <x:v>PROC.BidSubmitted</x:v>
      </x:c>
      <x:c r="C22" s="31" t="str">
        <x:v>同创科技投标提交</x:v>
      </x:c>
      <x:c r="D22" s="31" t="str">
        <x:v>CASE-004</x:v>
      </x:c>
      <x:c r="E22" s="31" t="str">
        <x:v>BID-004C</x:v>
      </x:c>
      <x:c r="F22" s="31" t="str">
        <x:v>PER-CTRL-001</x:v>
      </x:c>
      <x:c r="G22" s="31" t="str"/>
      <x:c r="H22" s="69" t="n">
        <x:v>46171.22708333333</x:v>
      </x:c>
      <x:c r="I22" s="37" t="n">
        <x:v>12240000</x:v>
      </x:c>
      <x:c r="J22" s="31" t="str">
        <x:v>完成</x:v>
      </x:c>
      <x:c r="K22" s="31" t="str">
        <x:v>EProcurement</x:v>
      </x:c>
      <x:c r="L22" s="31" t="str">
        <x:v>BID-004C</x:v>
      </x:c>
      <x:c r="M22" s="31" t="str">
        <x:v>{}</x:v>
      </x:c>
    </x:row>
    <x:row r="23">
      <x:c r="A23" s="31" t="str">
        <x:v>EVT-004-05</x:v>
      </x:c>
      <x:c r="B23" s="31" t="str">
        <x:v>PROC.BidOpened</x:v>
      </x:c>
      <x:c r="C23" s="31" t="str">
        <x:v>网络安全设备开标</x:v>
      </x:c>
      <x:c r="D23" s="31" t="str">
        <x:v>CASE-004</x:v>
      </x:c>
      <x:c r="E23" s="31" t="str">
        <x:v>PRJ-004</x:v>
      </x:c>
      <x:c r="F23" s="31" t="str"/>
      <x:c r="G23" s="31" t="str">
        <x:v>ORG-SEC</x:v>
      </x:c>
      <x:c r="H23" s="69" t="n">
        <x:v>46172.041666666664</x:v>
      </x:c>
      <x:c r="I23" s="37"/>
      <x:c r="J23" s="31" t="str">
        <x:v>完成</x:v>
      </x:c>
      <x:c r="K23" s="31" t="str">
        <x:v>EProcurement</x:v>
      </x:c>
      <x:c r="L23" s="31" t="str">
        <x:v>OPEN-004</x:v>
      </x:c>
      <x:c r="M23" s="31" t="str">
        <x:v>{}</x:v>
      </x:c>
    </x:row>
    <x:row r="24">
      <x:c r="A24" s="31" t="str">
        <x:v>EVT-004-06</x:v>
      </x:c>
      <x:c r="B24" s="31" t="str">
        <x:v>PROC.BidConfirmed</x:v>
      </x:c>
      <x:c r="C24" s="31" t="str">
        <x:v>网络安全设备中标确认</x:v>
      </x:c>
      <x:c r="D24" s="31" t="str">
        <x:v>CASE-004</x:v>
      </x:c>
      <x:c r="E24" s="31" t="str">
        <x:v>AWD-004</x:v>
      </x:c>
      <x:c r="F24" s="31" t="str"/>
      <x:c r="G24" s="31" t="str">
        <x:v>ORG-SEC</x:v>
      </x:c>
      <x:c r="H24" s="69" t="n">
        <x:v>46176.083333333336</x:v>
      </x:c>
      <x:c r="I24" s="37" t="n">
        <x:v>12180000</x:v>
      </x:c>
      <x:c r="J24" s="31" t="str">
        <x:v>完成</x:v>
      </x:c>
      <x:c r="K24" s="31" t="str">
        <x:v>EProcurement</x:v>
      </x:c>
      <x:c r="L24" s="31" t="str">
        <x:v>AWD-004</x:v>
      </x:c>
      <x:c r="M24" s="31" t="str">
        <x:v>{}</x:v>
      </x:c>
    </x:row>
    <x:row r="25">
      <x:c r="A25" s="31" t="str">
        <x:v>EVT-005-01</x:v>
      </x:c>
      <x:c r="B25" s="31" t="str">
        <x:v>PROC.TenderPublished</x:v>
      </x:c>
      <x:c r="C25" s="31" t="str">
        <x:v>云资源运维公告发布</x:v>
      </x:c>
      <x:c r="D25" s="31" t="str">
        <x:v>CASE-005</x:v>
      </x:c>
      <x:c r="E25" s="31" t="str">
        <x:v>ANN-005</x:v>
      </x:c>
      <x:c r="F25" s="31" t="str">
        <x:v>PER-PM-001</x:v>
      </x:c>
      <x:c r="G25" s="31" t="str">
        <x:v>ORG-OPS</x:v>
      </x:c>
      <x:c r="H25" s="69" t="n">
        <x:v>46175.041666666664</x:v>
      </x:c>
      <x:c r="I25" s="37" t="n">
        <x:v>3200000</x:v>
      </x:c>
      <x:c r="J25" s="31" t="str">
        <x:v>异常</x:v>
      </x:c>
      <x:c r="K25" s="31" t="str">
        <x:v>EProcurement</x:v>
      </x:c>
      <x:c r="L25" s="31" t="str">
        <x:v>ANN-005</x:v>
      </x:c>
      <x:c r="M25" s="31" t="str">
        <x:v>{}</x:v>
      </x:c>
    </x:row>
    <x:row r="26">
      <x:c r="A26" s="31" t="str">
        <x:v>EVT-005-02</x:v>
      </x:c>
      <x:c r="B26" s="31" t="str">
        <x:v>PROC.BudgetApproved</x:v>
      </x:c>
      <x:c r="C26" s="31" t="str">
        <x:v>云资源运维预算批复</x:v>
      </x:c>
      <x:c r="D26" s="31" t="str">
        <x:v>CASE-005</x:v>
      </x:c>
      <x:c r="E26" s="31" t="str">
        <x:v>BUD-005</x:v>
      </x:c>
      <x:c r="F26" s="31" t="str">
        <x:v>PER-BUD-001</x:v>
      </x:c>
      <x:c r="G26" s="31" t="str">
        <x:v>ORG-FIN</x:v>
      </x:c>
      <x:c r="H26" s="69" t="n">
        <x:v>46181.333333333336</x:v>
      </x:c>
      <x:c r="I26" s="37" t="n">
        <x:v>3200000</x:v>
      </x:c>
      <x:c r="J26" s="31" t="str">
        <x:v>完成</x:v>
      </x:c>
      <x:c r="K26" s="31" t="str">
        <x:v>OA</x:v>
      </x:c>
      <x:c r="L26" s="31" t="str">
        <x:v>BUD-005</x:v>
      </x:c>
      <x:c r="M26" s="31" t="str">
        <x:v>{}</x:v>
      </x:c>
    </x:row>
    <x:row r="27">
      <x:c r="A27" s="31" t="str">
        <x:v>EVT-005-03</x:v>
      </x:c>
      <x:c r="B27" s="31" t="str">
        <x:v>PROC.PanelSelected</x:v>
      </x:c>
      <x:c r="C27" s="31" t="str">
        <x:v>云资源运维专家指定</x:v>
      </x:c>
      <x:c r="D27" s="31" t="str">
        <x:v>CASE-005</x:v>
      </x:c>
      <x:c r="E27" s="31" t="str">
        <x:v>PANEL-005</x:v>
      </x:c>
      <x:c r="F27" s="31" t="str">
        <x:v>PER-PM-001</x:v>
      </x:c>
      <x:c r="G27" s="31" t="str">
        <x:v>ORG-OPS</x:v>
      </x:c>
      <x:c r="H27" s="69" t="n">
        <x:v>46182.020833333336</x:v>
      </x:c>
      <x:c r="I27" s="37"/>
      <x:c r="J27" s="31" t="str">
        <x:v>异常</x:v>
      </x:c>
      <x:c r="K27" s="31" t="str">
        <x:v>EProcurement</x:v>
      </x:c>
      <x:c r="L27" s="31" t="str">
        <x:v>PANEL-005</x:v>
      </x:c>
      <x:c r="M27" s="31" t="str">
        <x:v>{"selection_method":"指定","draw_record_no":""}</x:v>
      </x:c>
    </x:row>
    <x:row r="28">
      <x:c r="A28" s="31" t="str">
        <x:v>EVT-005-04</x:v>
      </x:c>
      <x:c r="B28" s="31" t="str">
        <x:v>PROC.BidSubmitted</x:v>
      </x:c>
      <x:c r="C28" s="31" t="str">
        <x:v>云维科技投标提交</x:v>
      </x:c>
      <x:c r="D28" s="31" t="str">
        <x:v>CASE-005</x:v>
      </x:c>
      <x:c r="E28" s="31" t="str">
        <x:v>BID-005A</x:v>
      </x:c>
      <x:c r="F28" s="31" t="str"/>
      <x:c r="G28" s="31" t="str"/>
      <x:c r="H28" s="69" t="n">
        <x:v>46182.006944444445</x:v>
      </x:c>
      <x:c r="I28" s="37" t="n">
        <x:v>3150000</x:v>
      </x:c>
      <x:c r="J28" s="31" t="str">
        <x:v>完成</x:v>
      </x:c>
      <x:c r="K28" s="31" t="str">
        <x:v>EProcurement</x:v>
      </x:c>
      <x:c r="L28" s="31" t="str">
        <x:v>BID-005A</x:v>
      </x:c>
      <x:c r="M28" s="31" t="str">
        <x:v>{}</x:v>
      </x:c>
    </x:row>
    <x:row r="29">
      <x:c r="A29" s="31" t="str">
        <x:v>EVT-005-05</x:v>
      </x:c>
      <x:c r="B29" s="31" t="str">
        <x:v>PROC.BidConfirmed</x:v>
      </x:c>
      <x:c r="C29" s="31" t="str">
        <x:v>云资源运维中标确认</x:v>
      </x:c>
      <x:c r="D29" s="31" t="str">
        <x:v>CASE-005</x:v>
      </x:c>
      <x:c r="E29" s="31" t="str">
        <x:v>AWD-005</x:v>
      </x:c>
      <x:c r="F29" s="31" t="str"/>
      <x:c r="G29" s="31" t="str">
        <x:v>ORG-OPS</x:v>
      </x:c>
      <x:c r="H29" s="69" t="n">
        <x:v>46185.083333333336</x:v>
      </x:c>
      <x:c r="I29" s="37" t="n">
        <x:v>3150000</x:v>
      </x:c>
      <x:c r="J29" s="31" t="str">
        <x:v>完成</x:v>
      </x:c>
      <x:c r="K29" s="31" t="str">
        <x:v>EProcurement</x:v>
      </x:c>
      <x:c r="L29" s="31" t="str">
        <x:v>AWD-005</x:v>
      </x:c>
      <x:c r="M29" s="31" t="str">
        <x:v>{}</x:v>
      </x:c>
    </x:row>
    <x:row r="30">
      <x:c r="A30" s="31" t="str">
        <x:v>EVT-005-06</x:v>
      </x:c>
      <x:c r="B30" s="31" t="str">
        <x:v>PROC.ContractSigned</x:v>
      </x:c>
      <x:c r="C30" s="31" t="str">
        <x:v>云资源运维合同签订</x:v>
      </x:c>
      <x:c r="D30" s="31" t="str">
        <x:v>CASE-005</x:v>
      </x:c>
      <x:c r="E30" s="31" t="str">
        <x:v>CON-005</x:v>
      </x:c>
      <x:c r="F30" s="31" t="str">
        <x:v>PER-PM-001</x:v>
      </x:c>
      <x:c r="G30" s="31" t="str">
        <x:v>ORG-OPS</x:v>
      </x:c>
      <x:c r="H30" s="69" t="n">
        <x:v>46187.083333333336</x:v>
      </x:c>
      <x:c r="I30" s="37" t="n">
        <x:v>3150000</x:v>
      </x:c>
      <x:c r="J30" s="31" t="str">
        <x:v>完成</x:v>
      </x:c>
      <x:c r="K30" s="31" t="str">
        <x:v>ContractSystem</x:v>
      </x:c>
      <x:c r="L30" s="31" t="str">
        <x:v>CON-005</x:v>
      </x:c>
      <x:c r="M30" s="31" t="str">
        <x:v>{}</x:v>
      </x:c>
    </x:row>
    <x:row r="31">
      <x:c r="A31" s="31" t="str">
        <x:v>EVT-006-01</x:v>
      </x:c>
      <x:c r="B31" s="31" t="str">
        <x:v>PROC.ContractSigned</x:v>
      </x:c>
      <x:c r="C31" s="31" t="str">
        <x:v>存储设备合同签订</x:v>
      </x:c>
      <x:c r="D31" s="31" t="str">
        <x:v>CASE-006</x:v>
      </x:c>
      <x:c r="E31" s="31" t="str">
        <x:v>CON-006</x:v>
      </x:c>
      <x:c r="F31" s="31" t="str"/>
      <x:c r="G31" s="31" t="str">
        <x:v>ORG-INFRA</x:v>
      </x:c>
      <x:c r="H31" s="69" t="n">
        <x:v>46152.083333333336</x:v>
      </x:c>
      <x:c r="I31" s="37" t="n">
        <x:v>4860000</x:v>
      </x:c>
      <x:c r="J31" s="31" t="str">
        <x:v>完成</x:v>
      </x:c>
      <x:c r="K31" s="31" t="str">
        <x:v>ContractSystem</x:v>
      </x:c>
      <x:c r="L31" s="31" t="str">
        <x:v>CON-006</x:v>
      </x:c>
      <x:c r="M31" s="31" t="str">
        <x:v>{}</x:v>
      </x:c>
    </x:row>
    <x:row r="32">
      <x:c r="A32" s="31" t="str">
        <x:v>EVT-006-02</x:v>
      </x:c>
      <x:c r="B32" s="31" t="str">
        <x:v>PROC.OrderIssued</x:v>
      </x:c>
      <x:c r="C32" s="31" t="str">
        <x:v>存储设备订单下达</x:v>
      </x:c>
      <x:c r="D32" s="31" t="str">
        <x:v>CASE-006</x:v>
      </x:c>
      <x:c r="E32" s="31" t="str">
        <x:v>PO-006</x:v>
      </x:c>
      <x:c r="F32" s="31" t="str"/>
      <x:c r="G32" s="31" t="str">
        <x:v>ORG-INFRA</x:v>
      </x:c>
      <x:c r="H32" s="69" t="n">
        <x:v>46154.083333333336</x:v>
      </x:c>
      <x:c r="I32" s="37" t="n">
        <x:v>4860000</x:v>
      </x:c>
      <x:c r="J32" s="31" t="str">
        <x:v>完成</x:v>
      </x:c>
      <x:c r="K32" s="31" t="str">
        <x:v>ERP</x:v>
      </x:c>
      <x:c r="L32" s="31" t="str">
        <x:v>PO-006</x:v>
      </x:c>
      <x:c r="M32" s="31" t="str">
        <x:v>{}</x:v>
      </x:c>
    </x:row>
    <x:row r="33">
      <x:c r="A33" s="31" t="str">
        <x:v>EVT-006-03</x:v>
      </x:c>
      <x:c r="B33" s="31" t="str">
        <x:v>PROC.GoodsDispatched</x:v>
      </x:c>
      <x:c r="C33" s="31" t="str">
        <x:v>存储设备发运</x:v>
      </x:c>
      <x:c r="D33" s="31" t="str">
        <x:v>CASE-006</x:v>
      </x:c>
      <x:c r="E33" s="31" t="str">
        <x:v>LOG-006</x:v>
      </x:c>
      <x:c r="F33" s="31" t="str"/>
      <x:c r="G33" s="31" t="str"/>
      <x:c r="H33" s="69" t="n">
        <x:v>46157</x:v>
      </x:c>
      <x:c r="I33" s="37"/>
      <x:c r="J33" s="31" t="str">
        <x:v>异常</x:v>
      </x:c>
      <x:c r="K33" s="31" t="str">
        <x:v>LogisticsPlatform</x:v>
      </x:c>
      <x:c r="L33" s="31" t="str">
        <x:v>LOG-006</x:v>
      </x:c>
      <x:c r="M33" s="31" t="str">
        <x:v>{}</x:v>
      </x:c>
    </x:row>
    <x:row r="34">
      <x:c r="A34" s="31" t="str">
        <x:v>EVT-006-04</x:v>
      </x:c>
      <x:c r="B34" s="31" t="str">
        <x:v>PROC.GoodsReceived</x:v>
      </x:c>
      <x:c r="C34" s="31" t="str">
        <x:v>存储设备收货登记</x:v>
      </x:c>
      <x:c r="D34" s="31" t="str">
        <x:v>CASE-006</x:v>
      </x:c>
      <x:c r="E34" s="31" t="str">
        <x:v>GR-006</x:v>
      </x:c>
      <x:c r="F34" s="31" t="str">
        <x:v>PER-WH-001</x:v>
      </x:c>
      <x:c r="G34" s="31" t="str">
        <x:v>ORG-WH</x:v>
      </x:c>
      <x:c r="H34" s="69" t="n">
        <x:v>46158.05</x:v>
      </x:c>
      <x:c r="I34" s="37" t="n">
        <x:v>4860000</x:v>
      </x:c>
      <x:c r="J34" s="31" t="str">
        <x:v>异常</x:v>
      </x:c>
      <x:c r="K34" s="31" t="str">
        <x:v>WMS</x:v>
      </x:c>
      <x:c r="L34" s="31" t="str">
        <x:v>GR-006</x:v>
      </x:c>
      <x:c r="M34" s="31" t="str">
        <x:v>{"source_ip":"IP-006-SUPPLIER"}</x:v>
      </x:c>
    </x:row>
    <x:row r="35">
      <x:c r="A35" s="31" t="str">
        <x:v>EVT-006-05</x:v>
      </x:c>
      <x:c r="B35" s="31" t="str">
        <x:v>PROC.InvoiceIssued</x:v>
      </x:c>
      <x:c r="C35" s="31" t="str">
        <x:v>存储设备发票开具</x:v>
      </x:c>
      <x:c r="D35" s="31" t="str">
        <x:v>CASE-006</x:v>
      </x:c>
      <x:c r="E35" s="31" t="str">
        <x:v>INV-006</x:v>
      </x:c>
      <x:c r="F35" s="31" t="str"/>
      <x:c r="G35" s="31" t="str"/>
      <x:c r="H35" s="69" t="n">
        <x:v>46159.083333333336</x:v>
      </x:c>
      <x:c r="I35" s="37" t="n">
        <x:v>4860000</x:v>
      </x:c>
      <x:c r="J35" s="31" t="str">
        <x:v>完成</x:v>
      </x:c>
      <x:c r="K35" s="31" t="str">
        <x:v>InvoicePlatform</x:v>
      </x:c>
      <x:c r="L35" s="31" t="str">
        <x:v>INV-006</x:v>
      </x:c>
      <x:c r="M35" s="31" t="str">
        <x:v>{}</x:v>
      </x:c>
    </x:row>
    <x:row r="36">
      <x:c r="A36" s="31" t="str">
        <x:v>EVT-006-06</x:v>
      </x:c>
      <x:c r="B36" s="31" t="str">
        <x:v>PROC.PaymentExecuted</x:v>
      </x:c>
      <x:c r="C36" s="31" t="str">
        <x:v>存储设备合同付款</x:v>
      </x:c>
      <x:c r="D36" s="31" t="str">
        <x:v>CASE-006</x:v>
      </x:c>
      <x:c r="E36" s="31" t="str">
        <x:v>PAY-006</x:v>
      </x:c>
      <x:c r="F36" s="31" t="str"/>
      <x:c r="G36" s="31" t="str">
        <x:v>ORG-FIN</x:v>
      </x:c>
      <x:c r="H36" s="69" t="n">
        <x:v>46160.291666666664</x:v>
      </x:c>
      <x:c r="I36" s="37" t="n">
        <x:v>4860000</x:v>
      </x:c>
      <x:c r="J36" s="31" t="str">
        <x:v>完成</x:v>
      </x:c>
      <x:c r="K36" s="31" t="str">
        <x:v>Treasury</x:v>
      </x:c>
      <x:c r="L36" s="31" t="str">
        <x:v>PAY-006</x:v>
      </x:c>
      <x:c r="M36" s="31" t="str">
        <x:v>{}</x:v>
      </x:c>
    </x:row>
    <x:row r="37">
      <x:c r="A37" s="31" t="str">
        <x:v>EVT-006-07</x:v>
      </x:c>
      <x:c r="B37" s="31" t="str">
        <x:v>PROC.FundTransferred</x:v>
      </x:c>
      <x:c r="C37" s="31" t="str">
        <x:v>供应商资金转入采购方关联企业</x:v>
      </x:c>
      <x:c r="D37" s="31" t="str">
        <x:v>CASE-006</x:v>
      </x:c>
      <x:c r="E37" s="31" t="str">
        <x:v>BA-SUP10</x:v>
      </x:c>
      <x:c r="F37" s="31" t="str"/>
      <x:c r="G37" s="31" t="str"/>
      <x:c r="H37" s="69" t="n">
        <x:v>46161.09375</x:v>
      </x:c>
      <x:c r="I37" s="37" t="n">
        <x:v>4620000</x:v>
      </x:c>
      <x:c r="J37" s="31" t="str">
        <x:v>异常</x:v>
      </x:c>
      <x:c r="K37" s="31" t="str">
        <x:v>BankFlow</x:v>
      </x:c>
      <x:c r="L37" s="31" t="str">
        <x:v>FLOW-006-001</x:v>
      </x:c>
      <x:c r="M37" s="31" t="str">
        <x:v>{"to_account":"BA-AFFIL","ratio":0.9506}</x:v>
      </x:c>
    </x:row>
    <x:row r="38">
      <x:c r="A38" s="31" t="str">
        <x:v>EVT-007-01</x:v>
      </x:c>
      <x:c r="B38" s="31" t="str">
        <x:v>PROC.BidConfirmed</x:v>
      </x:c>
      <x:c r="C38" s="31" t="str">
        <x:v>安全运营服务中标确认</x:v>
      </x:c>
      <x:c r="D38" s="31" t="str">
        <x:v>CASE-007</x:v>
      </x:c>
      <x:c r="E38" s="31" t="str">
        <x:v>AWD-007</x:v>
      </x:c>
      <x:c r="F38" s="31" t="str"/>
      <x:c r="G38" s="31" t="str">
        <x:v>ORG-SEC</x:v>
      </x:c>
      <x:c r="H38" s="69" t="n">
        <x:v>46132.083333333336</x:v>
      </x:c>
      <x:c r="I38" s="37" t="n">
        <x:v>6750000</x:v>
      </x:c>
      <x:c r="J38" s="31" t="str">
        <x:v>完成</x:v>
      </x:c>
      <x:c r="K38" s="31" t="str">
        <x:v>EProcurement</x:v>
      </x:c>
      <x:c r="L38" s="31" t="str">
        <x:v>AWD-007</x:v>
      </x:c>
      <x:c r="M38" s="31" t="str">
        <x:v>{}</x:v>
      </x:c>
    </x:row>
    <x:row r="39">
      <x:c r="A39" s="31" t="str">
        <x:v>EVT-007-02</x:v>
      </x:c>
      <x:c r="B39" s="31" t="str">
        <x:v>PROC.ContractSigned</x:v>
      </x:c>
      <x:c r="C39" s="31" t="str">
        <x:v>安全运营服务合同签订</x:v>
      </x:c>
      <x:c r="D39" s="31" t="str">
        <x:v>CASE-007</x:v>
      </x:c>
      <x:c r="E39" s="31" t="str">
        <x:v>CON-007</x:v>
      </x:c>
      <x:c r="F39" s="31" t="str"/>
      <x:c r="G39" s="31" t="str">
        <x:v>ORG-SEC</x:v>
      </x:c>
      <x:c r="H39" s="69" t="n">
        <x:v>46137.083333333336</x:v>
      </x:c>
      <x:c r="I39" s="37" t="n">
        <x:v>6750000</x:v>
      </x:c>
      <x:c r="J39" s="31" t="str">
        <x:v>完成</x:v>
      </x:c>
      <x:c r="K39" s="31" t="str">
        <x:v>ContractSystem</x:v>
      </x:c>
      <x:c r="L39" s="31" t="str">
        <x:v>CON-007</x:v>
      </x:c>
      <x:c r="M39" s="31" t="str">
        <x:v>{}</x:v>
      </x:c>
    </x:row>
    <x:row r="40">
      <x:c r="A40" s="31" t="str">
        <x:v>EVT-007-03</x:v>
      </x:c>
      <x:c r="B40" s="31" t="str">
        <x:v>PROC.ContractChanged</x:v>
      </x:c>
      <x:c r="C40" s="31" t="str">
        <x:v>安全运营服务合同增补</x:v>
      </x:c>
      <x:c r="D40" s="31" t="str">
        <x:v>CASE-007</x:v>
      </x:c>
      <x:c r="E40" s="31" t="str">
        <x:v>CHG-007</x:v>
      </x:c>
      <x:c r="F40" s="31" t="str"/>
      <x:c r="G40" s="31" t="str">
        <x:v>ORG-SEC</x:v>
      </x:c>
      <x:c r="H40" s="69" t="n">
        <x:v>46155.083333333336</x:v>
      </x:c>
      <x:c r="I40" s="37" t="n">
        <x:v>2550000</x:v>
      </x:c>
      <x:c r="J40" s="31" t="str">
        <x:v>异常</x:v>
      </x:c>
      <x:c r="K40" s="31" t="str">
        <x:v>ContractSystem</x:v>
      </x:c>
      <x:c r="L40" s="31" t="str">
        <x:v>CHG-007</x:v>
      </x:c>
      <x:c r="M40" s="31" t="str">
        <x:v>{"change_rate":0.3778}</x:v>
      </x:c>
    </x:row>
    <x:row r="41">
      <x:c r="A41" s="31" t="str">
        <x:v>EVT-007-04</x:v>
      </x:c>
      <x:c r="B41" s="31" t="str">
        <x:v>PROC.InvoiceIssued</x:v>
      </x:c>
      <x:c r="C41" s="31" t="str">
        <x:v>安全运营服务首期发票</x:v>
      </x:c>
      <x:c r="D41" s="31" t="str">
        <x:v>CASE-007</x:v>
      </x:c>
      <x:c r="E41" s="31" t="str">
        <x:v>INV-007</x:v>
      </x:c>
      <x:c r="F41" s="31" t="str"/>
      <x:c r="G41" s="31" t="str"/>
      <x:c r="H41" s="69" t="n">
        <x:v>46162.083333333336</x:v>
      </x:c>
      <x:c r="I41" s="37" t="n">
        <x:v>8370000</x:v>
      </x:c>
      <x:c r="J41" s="31" t="str">
        <x:v>完成</x:v>
      </x:c>
      <x:c r="K41" s="31" t="str">
        <x:v>InvoicePlatform</x:v>
      </x:c>
      <x:c r="L41" s="31" t="str">
        <x:v>INV-007</x:v>
      </x:c>
      <x:c r="M41" s="31" t="str">
        <x:v>{}</x:v>
      </x:c>
    </x:row>
    <x:row r="42">
      <x:c r="A42" s="31" t="str">
        <x:v>EVT-007-05</x:v>
      </x:c>
      <x:c r="B42" s="31" t="str">
        <x:v>PROC.PaymentExecuted</x:v>
      </x:c>
      <x:c r="C42" s="31" t="str">
        <x:v>安全运营服务预付款</x:v>
      </x:c>
      <x:c r="D42" s="31" t="str">
        <x:v>CASE-007</x:v>
      </x:c>
      <x:c r="E42" s="31" t="str">
        <x:v>PAY-007</x:v>
      </x:c>
      <x:c r="F42" s="31" t="str"/>
      <x:c r="G42" s="31" t="str">
        <x:v>ORG-FIN</x:v>
      </x:c>
      <x:c r="H42" s="69" t="n">
        <x:v>46163.125</x:v>
      </x:c>
      <x:c r="I42" s="37" t="n">
        <x:v>8370000</x:v>
      </x:c>
      <x:c r="J42" s="31" t="str">
        <x:v>异常</x:v>
      </x:c>
      <x:c r="K42" s="31" t="str">
        <x:v>Treasury</x:v>
      </x:c>
      <x:c r="L42" s="31" t="str">
        <x:v>PAY-007</x:v>
      </x:c>
      <x:c r="M42" s="31" t="str">
        <x:v>{"payment_ratio":0.9,"inspection_status":"未验收"}</x:v>
      </x:c>
    </x:row>
    <x:row r="43">
      <x:c r="A43" s="31" t="str">
        <x:v>EVT-008-01</x:v>
      </x:c>
      <x:c r="B43" s="31" t="str">
        <x:v>PROC.BudgetApproved</x:v>
      </x:c>
      <x:c r="C43" s="31" t="str">
        <x:v>服务器框架预算批复</x:v>
      </x:c>
      <x:c r="D43" s="31" t="str">
        <x:v>CASE-008</x:v>
      </x:c>
      <x:c r="E43" s="31" t="str">
        <x:v>BUD-008</x:v>
      </x:c>
      <x:c r="F43" s="31" t="str">
        <x:v>PER-BUD-001</x:v>
      </x:c>
      <x:c r="G43" s="31" t="str">
        <x:v>ORG-FIN</x:v>
      </x:c>
      <x:c r="H43" s="69" t="n">
        <x:v>46101.083333333336</x:v>
      </x:c>
      <x:c r="I43" s="37" t="n">
        <x:v>10000000</x:v>
      </x:c>
      <x:c r="J43" s="31" t="str">
        <x:v>完成</x:v>
      </x:c>
      <x:c r="K43" s="31" t="str">
        <x:v>OA</x:v>
      </x:c>
      <x:c r="L43" s="31" t="str">
        <x:v>BUD-008</x:v>
      </x:c>
      <x:c r="M43" s="31" t="str">
        <x:v>{}</x:v>
      </x:c>
    </x:row>
    <x:row r="44">
      <x:c r="A44" s="31" t="str">
        <x:v>EVT-008-02</x:v>
      </x:c>
      <x:c r="B44" s="31" t="str">
        <x:v>PROC.TenderPublished</x:v>
      </x:c>
      <x:c r="C44" s="31" t="str">
        <x:v>服务器框架公告发布</x:v>
      </x:c>
      <x:c r="D44" s="31" t="str">
        <x:v>CASE-008</x:v>
      </x:c>
      <x:c r="E44" s="31" t="str">
        <x:v>ANN-008</x:v>
      </x:c>
      <x:c r="F44" s="31" t="str"/>
      <x:c r="G44" s="31" t="str">
        <x:v>ORG-INFRA</x:v>
      </x:c>
      <x:c r="H44" s="69" t="n">
        <x:v>46113.041666666664</x:v>
      </x:c>
      <x:c r="I44" s="37" t="n">
        <x:v>9800000</x:v>
      </x:c>
      <x:c r="J44" s="31" t="str">
        <x:v>完成</x:v>
      </x:c>
      <x:c r="K44" s="31" t="str">
        <x:v>EProcurement</x:v>
      </x:c>
      <x:c r="L44" s="31" t="str">
        <x:v>ANN-008</x:v>
      </x:c>
      <x:c r="M44" s="31" t="str">
        <x:v>{}</x:v>
      </x:c>
    </x:row>
    <x:row r="45">
      <x:c r="A45" s="31" t="str">
        <x:v>EVT-008-03</x:v>
      </x:c>
      <x:c r="B45" s="31" t="str">
        <x:v>PROC.BidSubmitted</x:v>
      </x:c>
      <x:c r="C45" s="31" t="str">
        <x:v>诚达服务器投标提交</x:v>
      </x:c>
      <x:c r="D45" s="31" t="str">
        <x:v>CASE-008</x:v>
      </x:c>
      <x:c r="E45" s="31" t="str">
        <x:v>BID-008A</x:v>
      </x:c>
      <x:c r="F45" s="31" t="str"/>
      <x:c r="G45" s="31" t="str"/>
      <x:c r="H45" s="69" t="n">
        <x:v>46135.083333333336</x:v>
      </x:c>
      <x:c r="I45" s="37" t="n">
        <x:v>9620000</x:v>
      </x:c>
      <x:c r="J45" s="31" t="str">
        <x:v>完成</x:v>
      </x:c>
      <x:c r="K45" s="31" t="str">
        <x:v>EProcurement</x:v>
      </x:c>
      <x:c r="L45" s="31" t="str">
        <x:v>BID-008A</x:v>
      </x:c>
      <x:c r="M45" s="31" t="str">
        <x:v>{}</x:v>
      </x:c>
    </x:row>
    <x:row r="46">
      <x:c r="A46" s="31" t="str">
        <x:v>EVT-008-04</x:v>
      </x:c>
      <x:c r="B46" s="31" t="str">
        <x:v>PROC.BidConfirmed</x:v>
      </x:c>
      <x:c r="C46" s="31" t="str">
        <x:v>服务器框架中标确认</x:v>
      </x:c>
      <x:c r="D46" s="31" t="str">
        <x:v>CASE-008</x:v>
      </x:c>
      <x:c r="E46" s="31" t="str">
        <x:v>AWD-008</x:v>
      </x:c>
      <x:c r="F46" s="31" t="str"/>
      <x:c r="G46" s="31" t="str">
        <x:v>ORG-INFRA</x:v>
      </x:c>
      <x:c r="H46" s="69" t="n">
        <x:v>46140.083333333336</x:v>
      </x:c>
      <x:c r="I46" s="37" t="n">
        <x:v>9620000</x:v>
      </x:c>
      <x:c r="J46" s="31" t="str">
        <x:v>完成</x:v>
      </x:c>
      <x:c r="K46" s="31" t="str">
        <x:v>EProcurement</x:v>
      </x:c>
      <x:c r="L46" s="31" t="str">
        <x:v>AWD-008</x:v>
      </x:c>
      <x:c r="M46" s="31" t="str">
        <x:v>{}</x:v>
      </x:c>
    </x:row>
    <x:row r="47">
      <x:c r="A47" s="31" t="str">
        <x:v>EVT-008-05</x:v>
      </x:c>
      <x:c r="B47" s="31" t="str">
        <x:v>PROC.ContractSigned</x:v>
      </x:c>
      <x:c r="C47" s="31" t="str">
        <x:v>服务器框架合同签订</x:v>
      </x:c>
      <x:c r="D47" s="31" t="str">
        <x:v>CASE-008</x:v>
      </x:c>
      <x:c r="E47" s="31" t="str">
        <x:v>CON-008</x:v>
      </x:c>
      <x:c r="F47" s="31" t="str"/>
      <x:c r="G47" s="31" t="str">
        <x:v>ORG-INFRA</x:v>
      </x:c>
      <x:c r="H47" s="69" t="n">
        <x:v>46147.083333333336</x:v>
      </x:c>
      <x:c r="I47" s="37" t="n">
        <x:v>9620000</x:v>
      </x:c>
      <x:c r="J47" s="31" t="str">
        <x:v>完成</x:v>
      </x:c>
      <x:c r="K47" s="31" t="str">
        <x:v>ContractSystem</x:v>
      </x:c>
      <x:c r="L47" s="31" t="str">
        <x:v>CON-008</x:v>
      </x:c>
      <x:c r="M47" s="31" t="str">
        <x:v>{}</x:v>
      </x:c>
    </x:row>
    <x:row r="48">
      <x:c r="A48" s="31" t="str">
        <x:v>EVT-008-06</x:v>
      </x:c>
      <x:c r="B48" s="31" t="str">
        <x:v>PROC.GoodsReceived</x:v>
      </x:c>
      <x:c r="C48" s="31" t="str">
        <x:v>服务器框架首批收货</x:v>
      </x:c>
      <x:c r="D48" s="31" t="str">
        <x:v>CASE-008</x:v>
      </x:c>
      <x:c r="E48" s="31" t="str">
        <x:v>GR-008</x:v>
      </x:c>
      <x:c r="F48" s="31" t="str">
        <x:v>PER-WH-001</x:v>
      </x:c>
      <x:c r="G48" s="31" t="str">
        <x:v>ORG-WH</x:v>
      </x:c>
      <x:c r="H48" s="69" t="n">
        <x:v>46162.25</x:v>
      </x:c>
      <x:c r="I48" s="37" t="n">
        <x:v>9620000</x:v>
      </x:c>
      <x:c r="J48" s="31" t="str">
        <x:v>完成</x:v>
      </x:c>
      <x:c r="K48" s="31" t="str">
        <x:v>WMS</x:v>
      </x:c>
      <x:c r="L48" s="31" t="str">
        <x:v>GR-008</x:v>
      </x:c>
      <x:c r="M48" s="31" t="str">
        <x:v>{}</x:v>
      </x:c>
    </x:row>
    <x:row r="49">
      <x:c r="A49" s="31" t="str">
        <x:v>EVT-008-07</x:v>
      </x:c>
      <x:c r="B49" s="31" t="str">
        <x:v>PROC.InspectionAccepted</x:v>
      </x:c>
      <x:c r="C49" s="31" t="str">
        <x:v>服务器框架首批验收通过</x:v>
      </x:c>
      <x:c r="D49" s="31" t="str">
        <x:v>CASE-008</x:v>
      </x:c>
      <x:c r="E49" s="31" t="str">
        <x:v>INSP-008</x:v>
      </x:c>
      <x:c r="F49" s="31" t="str">
        <x:v>PER-WH-001</x:v>
      </x:c>
      <x:c r="G49" s="31" t="str">
        <x:v>ORG-WH</x:v>
      </x:c>
      <x:c r="H49" s="69" t="n">
        <x:v>46170.333333333336</x:v>
      </x:c>
      <x:c r="I49" s="37" t="n">
        <x:v>9620000</x:v>
      </x:c>
      <x:c r="J49" s="31" t="str">
        <x:v>完成</x:v>
      </x:c>
      <x:c r="K49" s="31" t="str">
        <x:v>WMS</x:v>
      </x:c>
      <x:c r="L49" s="31" t="str">
        <x:v>INSP-008</x:v>
      </x:c>
      <x:c r="M49" s="31" t="str">
        <x:v>{}</x:v>
      </x:c>
    </x:row>
    <x:row r="50">
      <x:c r="A50" s="32" t="str">
        <x:v>EVT-008-08</x:v>
      </x:c>
      <x:c r="B50" s="32" t="str">
        <x:v>PROC.PaymentExecuted</x:v>
      </x:c>
      <x:c r="C50" s="32" t="str">
        <x:v>服务器框架验收付款</x:v>
      </x:c>
      <x:c r="D50" s="32" t="str">
        <x:v>CASE-008</x:v>
      </x:c>
      <x:c r="E50" s="32" t="str">
        <x:v>PAY-008</x:v>
      </x:c>
      <x:c r="F50" s="32" t="str"/>
      <x:c r="G50" s="32" t="str">
        <x:v>ORG-FIN</x:v>
      </x:c>
      <x:c r="H50" s="70" t="n">
        <x:v>46178.125</x:v>
      </x:c>
      <x:c r="I50" s="38" t="n">
        <x:v>9620000</x:v>
      </x:c>
      <x:c r="J50" s="32" t="str">
        <x:v>完成</x:v>
      </x:c>
      <x:c r="K50" s="32" t="str">
        <x:v>Treasury</x:v>
      </x:c>
      <x:c r="L50" s="32" t="str">
        <x:v>PAY-008</x:v>
      </x:c>
      <x:c r="M50" s="32" t="str">
        <x:v>{}</x:v>
      </x:c>
    </x:row>
    <x:row r="51">
      <x:c r="A51" t="str">
        <x:v>EVT-PKG5-H01</x:v>
      </x:c>
      <x:c r="B51" t="str">
        <x:v>PROC.BidSubmitted</x:v>
      </x:c>
      <x:c r="C51" t="str">
        <x:v>历史组团投标提交</x:v>
      </x:c>
      <x:c r="D51" t="str">
        <x:v>CASE-004</x:v>
      </x:c>
      <x:c r="E51" t="str">
        <x:v>BID-H001-A</x:v>
      </x:c>
      <x:c r="F51" t="str">
        <x:v>PER-CTRL-001</x:v>
      </x:c>
      <x:c r="G51" t="str">
        <x:v>ORG-SEC</x:v>
      </x:c>
      <x:c r="H51" t="n">
        <x:v>45890.04305555556</x:v>
      </x:c>
      <x:c r="I51" t="n">
        <x:v>6080000</x:v>
      </x:c>
      <x:c r="J51" t="str">
        <x:v>完成</x:v>
      </x:c>
      <x:c r="K51" t="str">
        <x:v>EProcurement</x:v>
      </x:c>
      <x:c r="L51" t="str">
        <x:v>BID-H001-A</x:v>
      </x:c>
      <x:c r="M51" t="str">
        <x:v>{"group_code":"BID-GROUP-C006-C008"}</x:v>
      </x:c>
    </x:row>
    <x:row r="52">
      <x:c r="A52" t="str">
        <x:v>EVT-PKG5-H02</x:v>
      </x:c>
      <x:c r="B52" t="str">
        <x:v>PROC.BidSubmitted</x:v>
      </x:c>
      <x:c r="C52" t="str">
        <x:v>历史组团投标提交</x:v>
      </x:c>
      <x:c r="D52" t="str">
        <x:v>CASE-004</x:v>
      </x:c>
      <x:c r="E52" t="str">
        <x:v>BID-H001-B</x:v>
      </x:c>
      <x:c r="F52" t="str">
        <x:v>PER-CTRL-001</x:v>
      </x:c>
      <x:c r="G52" t="str">
        <x:v>ORG-SEC</x:v>
      </x:c>
      <x:c r="H52" t="n">
        <x:v>45890.04513888889</x:v>
      </x:c>
      <x:c r="I52" t="n">
        <x:v>6100000</x:v>
      </x:c>
      <x:c r="J52" t="str">
        <x:v>完成</x:v>
      </x:c>
      <x:c r="K52" t="str">
        <x:v>EProcurement</x:v>
      </x:c>
      <x:c r="L52" t="str">
        <x:v>BID-H001-B</x:v>
      </x:c>
      <x:c r="M52" t="str">
        <x:v>{"group_code":"BID-GROUP-C006-C008"}</x:v>
      </x:c>
    </x:row>
    <x:row r="53">
      <x:c r="A53" t="str">
        <x:v>EVT-PKG5-H03</x:v>
      </x:c>
      <x:c r="B53" t="str">
        <x:v>PROC.BidSubmitted</x:v>
      </x:c>
      <x:c r="C53" t="str">
        <x:v>历史组团投标提交</x:v>
      </x:c>
      <x:c r="D53" t="str">
        <x:v>CASE-004</x:v>
      </x:c>
      <x:c r="E53" t="str">
        <x:v>BID-H001-C</x:v>
      </x:c>
      <x:c r="F53" t="str">
        <x:v>PER-CTRL-001</x:v>
      </x:c>
      <x:c r="G53" t="str">
        <x:v>ORG-SEC</x:v>
      </x:c>
      <x:c r="H53" t="n">
        <x:v>45890.04722222222</x:v>
      </x:c>
      <x:c r="I53" t="n">
        <x:v>6120000</x:v>
      </x:c>
      <x:c r="J53" t="str">
        <x:v>完成</x:v>
      </x:c>
      <x:c r="K53" t="str">
        <x:v>EProcurement</x:v>
      </x:c>
      <x:c r="L53" t="str">
        <x:v>BID-H001-C</x:v>
      </x:c>
      <x:c r="M53" t="str">
        <x:v>{"group_code":"BID-GROUP-C006-C008"}</x:v>
      </x:c>
    </x:row>
    <x:row r="54">
      <x:c r="A54" t="str">
        <x:v>EVT-PKG5-H04</x:v>
      </x:c>
      <x:c r="B54" t="str">
        <x:v>PROC.BidSubmitted</x:v>
      </x:c>
      <x:c r="C54" t="str">
        <x:v>历史组团投标提交</x:v>
      </x:c>
      <x:c r="D54" t="str">
        <x:v>CASE-004</x:v>
      </x:c>
      <x:c r="E54" t="str">
        <x:v>BID-H002-A</x:v>
      </x:c>
      <x:c r="F54" t="str">
        <x:v>PER-CTRL-001</x:v>
      </x:c>
      <x:c r="G54" t="str">
        <x:v>ORG-SEC</x:v>
      </x:c>
      <x:c r="H54" t="n">
        <x:v>45983.20972222222</x:v>
      </x:c>
      <x:c r="I54" t="n">
        <x:v>6950000</x:v>
      </x:c>
      <x:c r="J54" t="str">
        <x:v>完成</x:v>
      </x:c>
      <x:c r="K54" t="str">
        <x:v>EProcurement</x:v>
      </x:c>
      <x:c r="L54" t="str">
        <x:v>BID-H002-A</x:v>
      </x:c>
      <x:c r="M54" t="str">
        <x:v>{"group_code":"BID-GROUP-C006-C008"}</x:v>
      </x:c>
    </x:row>
    <x:row r="55">
      <x:c r="A55" t="str">
        <x:v>EVT-PKG5-H05</x:v>
      </x:c>
      <x:c r="B55" t="str">
        <x:v>PROC.BidSubmitted</x:v>
      </x:c>
      <x:c r="C55" t="str">
        <x:v>历史组团投标提交</x:v>
      </x:c>
      <x:c r="D55" t="str">
        <x:v>CASE-004</x:v>
      </x:c>
      <x:c r="E55" t="str">
        <x:v>BID-H002-B</x:v>
      </x:c>
      <x:c r="F55" t="str">
        <x:v>PER-CTRL-001</x:v>
      </x:c>
      <x:c r="G55" t="str">
        <x:v>ORG-SEC</x:v>
      </x:c>
      <x:c r="H55" t="n">
        <x:v>45983.211805555555</x:v>
      </x:c>
      <x:c r="I55" t="n">
        <x:v>6980000</x:v>
      </x:c>
      <x:c r="J55" t="str">
        <x:v>完成</x:v>
      </x:c>
      <x:c r="K55" t="str">
        <x:v>EProcurement</x:v>
      </x:c>
      <x:c r="L55" t="str">
        <x:v>BID-H002-B</x:v>
      </x:c>
      <x:c r="M55" t="str">
        <x:v>{"group_code":"BID-GROUP-C006-C008"}</x:v>
      </x:c>
    </x:row>
    <x:row r="56">
      <x:c r="A56" t="str">
        <x:v>EVT-PKG5-H06</x:v>
      </x:c>
      <x:c r="B56" t="str">
        <x:v>PROC.BidSubmitted</x:v>
      </x:c>
      <x:c r="C56" t="str">
        <x:v>历史组团投标提交</x:v>
      </x:c>
      <x:c r="D56" t="str">
        <x:v>CASE-004</x:v>
      </x:c>
      <x:c r="E56" t="str">
        <x:v>BID-H002-C</x:v>
      </x:c>
      <x:c r="F56" t="str">
        <x:v>PER-CTRL-001</x:v>
      </x:c>
      <x:c r="G56" t="str">
        <x:v>ORG-SEC</x:v>
      </x:c>
      <x:c r="H56" t="n">
        <x:v>45983.21388888889</x:v>
      </x:c>
      <x:c r="I56" t="n">
        <x:v>7010000</x:v>
      </x:c>
      <x:c r="J56" t="str">
        <x:v>完成</x:v>
      </x:c>
      <x:c r="K56" t="str">
        <x:v>EProcurement</x:v>
      </x:c>
      <x:c r="L56" t="str">
        <x:v>BID-H002-C</x:v>
      </x:c>
      <x:c r="M56" t="str">
        <x:v>{"group_code":"BID-GROUP-C006-C008"}</x:v>
      </x:c>
    </x:row>
    <x:row r="57">
      <x:c r="A57" t="str">
        <x:v>EVT-PKG5-H07</x:v>
      </x:c>
      <x:c r="B57" t="str">
        <x:v>PROC.BidSubmitted</x:v>
      </x:c>
      <x:c r="C57" t="str">
        <x:v>历史组团投标提交</x:v>
      </x:c>
      <x:c r="D57" t="str">
        <x:v>CASE-004</x:v>
      </x:c>
      <x:c r="E57" t="str">
        <x:v>BID-H003-A</x:v>
      </x:c>
      <x:c r="F57" t="str">
        <x:v>PER-CTRL-001</x:v>
      </x:c>
      <x:c r="G57" t="str">
        <x:v>ORG-SEC</x:v>
      </x:c>
      <x:c r="H57" t="n">
        <x:v>46076.08472222222</x:v>
      </x:c>
      <x:c r="I57" t="n">
        <x:v>6660000</x:v>
      </x:c>
      <x:c r="J57" t="str">
        <x:v>完成</x:v>
      </x:c>
      <x:c r="K57" t="str">
        <x:v>EProcurement</x:v>
      </x:c>
      <x:c r="L57" t="str">
        <x:v>BID-H003-A</x:v>
      </x:c>
      <x:c r="M57" t="str">
        <x:v>{"group_code":"BID-GROUP-C006-C008"}</x:v>
      </x:c>
    </x:row>
    <x:row r="58">
      <x:c r="A58" t="str">
        <x:v>EVT-PKG5-H08</x:v>
      </x:c>
      <x:c r="B58" t="str">
        <x:v>PROC.BidSubmitted</x:v>
      </x:c>
      <x:c r="C58" t="str">
        <x:v>历史组团投标提交</x:v>
      </x:c>
      <x:c r="D58" t="str">
        <x:v>CASE-004</x:v>
      </x:c>
      <x:c r="E58" t="str">
        <x:v>BID-H003-B</x:v>
      </x:c>
      <x:c r="F58" t="str">
        <x:v>PER-CTRL-001</x:v>
      </x:c>
      <x:c r="G58" t="str">
        <x:v>ORG-SEC</x:v>
      </x:c>
      <x:c r="H58" t="n">
        <x:v>46076.086805555555</x:v>
      </x:c>
      <x:c r="I58" t="n">
        <x:v>6690000</x:v>
      </x:c>
      <x:c r="J58" t="str">
        <x:v>完成</x:v>
      </x:c>
      <x:c r="K58" t="str">
        <x:v>EProcurement</x:v>
      </x:c>
      <x:c r="L58" t="str">
        <x:v>BID-H003-B</x:v>
      </x:c>
      <x:c r="M58" t="str">
        <x:v>{"group_code":"BID-GROUP-C006-C008"}</x:v>
      </x:c>
    </x:row>
    <x:row r="59">
      <x:c r="A59" t="str">
        <x:v>EVT-PKG5-H09</x:v>
      </x:c>
      <x:c r="B59" t="str">
        <x:v>PROC.BidSubmitted</x:v>
      </x:c>
      <x:c r="C59" t="str">
        <x:v>历史组团投标提交</x:v>
      </x:c>
      <x:c r="D59" t="str">
        <x:v>CASE-004</x:v>
      </x:c>
      <x:c r="E59" t="str">
        <x:v>BID-H003-C</x:v>
      </x:c>
      <x:c r="F59" t="str">
        <x:v>PER-CTRL-001</x:v>
      </x:c>
      <x:c r="G59" t="str">
        <x:v>ORG-SEC</x:v>
      </x:c>
      <x:c r="H59" t="n">
        <x:v>46076.08888888889</x:v>
      </x:c>
      <x:c r="I59" t="n">
        <x:v>6720000</x:v>
      </x:c>
      <x:c r="J59" t="str">
        <x:v>完成</x:v>
      </x:c>
      <x:c r="K59" t="str">
        <x:v>EProcurement</x:v>
      </x:c>
      <x:c r="L59" t="str">
        <x:v>BID-H003-C</x:v>
      </x:c>
      <x:c r="M59" t="str">
        <x:v>{"group_code":"BID-GROUP-C006-C008"}</x:v>
      </x:c>
    </x:row>
    <x:row r="60">
      <x:c r="A60" t="str">
        <x:v>EVT-PKG5-E01</x:v>
      </x:c>
      <x:c r="B60" t="str">
        <x:v>PROC.EvaluationScored</x:v>
      </x:c>
      <x:c r="C60" t="str">
        <x:v>智能评标完成</x:v>
      </x:c>
      <x:c r="D60" t="str">
        <x:v>CASE-003</x:v>
      </x:c>
      <x:c r="E60" t="str">
        <x:v>EVAL-003A</x:v>
      </x:c>
      <x:c r="F60" t="str"/>
      <x:c r="G60" t="str">
        <x:v>ORG-DATA</x:v>
      </x:c>
      <x:c r="H60" t="n">
        <x:v>46196.083333333336</x:v>
      </x:c>
      <x:c r="I60"/>
      <x:c r="J60" t="str">
        <x:v>完成</x:v>
      </x:c>
      <x:c r="K60" t="str">
        <x:v>AI-Evaluation</x:v>
      </x:c>
      <x:c r="L60" t="str">
        <x:v>EVAL-003A</x:v>
      </x:c>
      <x:c r="M60" t="str">
        <x:v>{"total_score":54,"risk_score":92,"rating":"D"}</x:v>
      </x:c>
    </x:row>
    <x:row r="61">
      <x:c r="A61" t="str">
        <x:v>EVT-PKG5-E02</x:v>
      </x:c>
      <x:c r="B61" t="str">
        <x:v>PROC.EvaluationScored</x:v>
      </x:c>
      <x:c r="C61" t="str">
        <x:v>智能评标完成</x:v>
      </x:c>
      <x:c r="D61" t="str">
        <x:v>CASE-003</x:v>
      </x:c>
      <x:c r="E61" t="str">
        <x:v>EVAL-003B</x:v>
      </x:c>
      <x:c r="F61" t="str"/>
      <x:c r="G61" t="str">
        <x:v>ORG-DATA</x:v>
      </x:c>
      <x:c r="H61" t="n">
        <x:v>46196.083333333336</x:v>
      </x:c>
      <x:c r="I61"/>
      <x:c r="J61" t="str">
        <x:v>完成</x:v>
      </x:c>
      <x:c r="K61" t="str">
        <x:v>AI-Evaluation</x:v>
      </x:c>
      <x:c r="L61" t="str">
        <x:v>EVAL-003B</x:v>
      </x:c>
      <x:c r="M61" t="str">
        <x:v>{"total_score":25,"risk_score":96,"rating":"D"}</x:v>
      </x:c>
    </x:row>
    <x:row r="62">
      <x:c r="A62" t="str">
        <x:v>EVT-PKG5-E03</x:v>
      </x:c>
      <x:c r="B62" t="str">
        <x:v>PROC.EvaluationScored</x:v>
      </x:c>
      <x:c r="C62" t="str">
        <x:v>智能评标完成</x:v>
      </x:c>
      <x:c r="D62" t="str">
        <x:v>CASE-003</x:v>
      </x:c>
      <x:c r="E62" t="str">
        <x:v>EVAL-003C</x:v>
      </x:c>
      <x:c r="F62" t="str"/>
      <x:c r="G62" t="str">
        <x:v>ORG-DATA</x:v>
      </x:c>
      <x:c r="H62" t="n">
        <x:v>46196.083333333336</x:v>
      </x:c>
      <x:c r="I62"/>
      <x:c r="J62" t="str">
        <x:v>完成</x:v>
      </x:c>
      <x:c r="K62" t="str">
        <x:v>AI-Evaluation</x:v>
      </x:c>
      <x:c r="L62" t="str">
        <x:v>EVAL-003C</x:v>
      </x:c>
      <x:c r="M62" t="str">
        <x:v>{"total_score":25,"risk_score":95,"rating":"D"}</x:v>
      </x:c>
    </x:row>
    <x:row r="63">
      <x:c r="A63" t="str">
        <x:v>EVT-PKG5-E04</x:v>
      </x:c>
      <x:c r="B63" t="str">
        <x:v>PROC.EvaluationScored</x:v>
      </x:c>
      <x:c r="C63" t="str">
        <x:v>智能评标完成</x:v>
      </x:c>
      <x:c r="D63" t="str">
        <x:v>CASE-004</x:v>
      </x:c>
      <x:c r="E63" t="str">
        <x:v>EVAL-004A</x:v>
      </x:c>
      <x:c r="F63" t="str"/>
      <x:c r="G63" t="str">
        <x:v>ORG-SEC</x:v>
      </x:c>
      <x:c r="H63" t="n">
        <x:v>46172.083333333336</x:v>
      </x:c>
      <x:c r="I63"/>
      <x:c r="J63" t="str">
        <x:v>完成</x:v>
      </x:c>
      <x:c r="K63" t="str">
        <x:v>AI-Evaluation</x:v>
      </x:c>
      <x:c r="L63" t="str">
        <x:v>EVAL-004A</x:v>
      </x:c>
      <x:c r="M63" t="str">
        <x:v>{"total_score":46,"risk_score":97,"rating":"D"}</x:v>
      </x:c>
    </x:row>
    <x:row r="64">
      <x:c r="A64" t="str">
        <x:v>EVT-PKG5-E05</x:v>
      </x:c>
      <x:c r="B64" t="str">
        <x:v>PROC.EvaluationScored</x:v>
      </x:c>
      <x:c r="C64" t="str">
        <x:v>智能评标完成</x:v>
      </x:c>
      <x:c r="D64" t="str">
        <x:v>CASE-004</x:v>
      </x:c>
      <x:c r="E64" t="str">
        <x:v>EVAL-004B</x:v>
      </x:c>
      <x:c r="F64" t="str"/>
      <x:c r="G64" t="str">
        <x:v>ORG-SEC</x:v>
      </x:c>
      <x:c r="H64" t="n">
        <x:v>46172.083333333336</x:v>
      </x:c>
      <x:c r="I64"/>
      <x:c r="J64" t="str">
        <x:v>完成</x:v>
      </x:c>
      <x:c r="K64" t="str">
        <x:v>AI-Evaluation</x:v>
      </x:c>
      <x:c r="L64" t="str">
        <x:v>EVAL-004B</x:v>
      </x:c>
      <x:c r="M64" t="str">
        <x:v>{"total_score":41,"risk_score":96,"rating":"D"}</x:v>
      </x:c>
    </x:row>
    <x:row r="65">
      <x:c r="A65" t="str">
        <x:v>EVT-PKG5-E06</x:v>
      </x:c>
      <x:c r="B65" t="str">
        <x:v>PROC.EvaluationScored</x:v>
      </x:c>
      <x:c r="C65" t="str">
        <x:v>智能评标完成</x:v>
      </x:c>
      <x:c r="D65" t="str">
        <x:v>CASE-004</x:v>
      </x:c>
      <x:c r="E65" t="str">
        <x:v>EVAL-004C</x:v>
      </x:c>
      <x:c r="F65" t="str"/>
      <x:c r="G65" t="str">
        <x:v>ORG-SEC</x:v>
      </x:c>
      <x:c r="H65" t="n">
        <x:v>46172.083333333336</x:v>
      </x:c>
      <x:c r="I65"/>
      <x:c r="J65" t="str">
        <x:v>完成</x:v>
      </x:c>
      <x:c r="K65" t="str">
        <x:v>AI-Evaluation</x:v>
      </x:c>
      <x:c r="L65" t="str">
        <x:v>EVAL-004C</x:v>
      </x:c>
      <x:c r="M65" t="str">
        <x:v>{"total_score":37,"risk_score":96,"rating":"D"}</x:v>
      </x:c>
    </x:row>
    <x:row r="66">
      <x:c r="A66" t="str">
        <x:v>EVT-PKG1-001</x:v>
      </x:c>
      <x:c r="B66" t="str">
        <x:v>PROC.ContractSigned</x:v>
      </x:c>
      <x:c r="C66" t="str">
        <x:v>云创技术销售合同签订</x:v>
      </x:c>
      <x:c r="D66" t="str">
        <x:v>CASE-006</x:v>
      </x:c>
      <x:c r="E66" t="str">
        <x:v>CON-SALE-006A</x:v>
      </x:c>
      <x:c r="F66" t="str"/>
      <x:c r="G66" t="str">
        <x:v>ORG-AFFIL</x:v>
      </x:c>
      <x:c r="H66" t="n">
        <x:v>46153.083333333336</x:v>
      </x:c>
      <x:c r="I66" t="n">
        <x:v>4860300</x:v>
      </x:c>
      <x:c r="J66" t="str">
        <x:v>完成</x:v>
      </x:c>
      <x:c r="K66" t="str">
        <x:v>ContractSystem</x:v>
      </x:c>
      <x:c r="L66" t="str">
        <x:v>CON-SALE-006A</x:v>
      </x:c>
      <x:c r="M66" t="str">
        <x:v>{"direction":"销售"}</x:v>
      </x:c>
    </x:row>
    <x:row r="67">
      <x:c r="A67" t="str">
        <x:v>EVT-PKG1-002</x:v>
      </x:c>
      <x:c r="B67" t="str">
        <x:v>PROC.ContractSigned</x:v>
      </x:c>
      <x:c r="C67" t="str">
        <x:v>数字基础设施销售合同签订</x:v>
      </x:c>
      <x:c r="D67" t="str">
        <x:v>CASE-006</x:v>
      </x:c>
      <x:c r="E67" t="str">
        <x:v>CON-SALE-006B</x:v>
      </x:c>
      <x:c r="F67" t="str"/>
      <x:c r="G67" t="str">
        <x:v>ORG-INFRA</x:v>
      </x:c>
      <x:c r="H67" t="n">
        <x:v>46154.083333333336</x:v>
      </x:c>
      <x:c r="I67" t="n">
        <x:v>4860200</x:v>
      </x:c>
      <x:c r="J67" t="str">
        <x:v>完成</x:v>
      </x:c>
      <x:c r="K67" t="str">
        <x:v>ContractSystem</x:v>
      </x:c>
      <x:c r="L67" t="str">
        <x:v>CON-SALE-006B</x:v>
      </x:c>
      <x:c r="M67" t="str">
        <x:v>{"direction":"销售"}</x:v>
      </x:c>
    </x:row>
    <x:row r="68">
      <x:c r="A68" t="str">
        <x:v>EVT-PKG1-003</x:v>
      </x:c>
      <x:c r="B68" t="str">
        <x:v>PROC.InvoiceIssued</x:v>
      </x:c>
      <x:c r="C68" t="str">
        <x:v>云创技术销售发票开具</x:v>
      </x:c>
      <x:c r="D68" t="str">
        <x:v>CASE-006</x:v>
      </x:c>
      <x:c r="E68" t="str">
        <x:v>INV-SALE-006A</x:v>
      </x:c>
      <x:c r="F68" t="str"/>
      <x:c r="G68" t="str">
        <x:v>ORG-AFFIL</x:v>
      </x:c>
      <x:c r="H68" t="n">
        <x:v>46159.125</x:v>
      </x:c>
      <x:c r="I68" t="n">
        <x:v>4860300</x:v>
      </x:c>
      <x:c r="J68" t="str">
        <x:v>完成</x:v>
      </x:c>
      <x:c r="K68" t="str">
        <x:v>InvoicePlatform</x:v>
      </x:c>
      <x:c r="L68" t="str">
        <x:v>INV-SALE-006A</x:v>
      </x:c>
      <x:c r="M68" t="str">
        <x:v>{}</x:v>
      </x:c>
    </x:row>
    <x:row r="69">
      <x:c r="A69" t="str">
        <x:v>EVT-PKG1-004</x:v>
      </x:c>
      <x:c r="B69" t="str">
        <x:v>PROC.InvoiceIssued</x:v>
      </x:c>
      <x:c r="C69" t="str">
        <x:v>数字基础设施销售发票开具</x:v>
      </x:c>
      <x:c r="D69" t="str">
        <x:v>CASE-006</x:v>
      </x:c>
      <x:c r="E69" t="str">
        <x:v>INV-SALE-006B</x:v>
      </x:c>
      <x:c r="F69" t="str"/>
      <x:c r="G69" t="str">
        <x:v>ORG-INFRA</x:v>
      </x:c>
      <x:c r="H69" t="n">
        <x:v>46159.12847222222</x:v>
      </x:c>
      <x:c r="I69" t="n">
        <x:v>4860200</x:v>
      </x:c>
      <x:c r="J69" t="str">
        <x:v>完成</x:v>
      </x:c>
      <x:c r="K69" t="str">
        <x:v>InvoicePlatform</x:v>
      </x:c>
      <x:c r="L69" t="str">
        <x:v>INV-SALE-006B</x:v>
      </x:c>
      <x:c r="M69" t="str">
        <x:v>{}</x:v>
      </x:c>
    </x:row>
    <x:row r="70">
      <x:c r="A70" t="str">
        <x:v>EVT-PKG1-005</x:v>
      </x:c>
      <x:c r="B70" t="str">
        <x:v>PROC.ReceivableRecorded</x:v>
      </x:c>
      <x:c r="C70" t="str">
        <x:v>销售应收确认</x:v>
      </x:c>
      <x:c r="D70" t="str">
        <x:v>CASE-006</x:v>
      </x:c>
      <x:c r="E70" t="str">
        <x:v>AR-006A</x:v>
      </x:c>
      <x:c r="F70" t="str"/>
      <x:c r="G70" t="str">
        <x:v>ORG-AFFIL</x:v>
      </x:c>
      <x:c r="H70" t="n">
        <x:v>46159.166666666664</x:v>
      </x:c>
      <x:c r="I70" t="n">
        <x:v>4860300</x:v>
      </x:c>
      <x:c r="J70" t="str">
        <x:v>完成</x:v>
      </x:c>
      <x:c r="K70" t="str">
        <x:v>Finance</x:v>
      </x:c>
      <x:c r="L70" t="str">
        <x:v>AR-006A</x:v>
      </x:c>
      <x:c r="M70" t="str">
        <x:v>{}</x:v>
      </x:c>
    </x:row>
    <x:row r="71">
      <x:c r="A71" t="str">
        <x:v>EVT-PKG1-006</x:v>
      </x:c>
      <x:c r="B71" t="str">
        <x:v>PROC.PrepaymentRecorded</x:v>
      </x:c>
      <x:c r="C71" t="str">
        <x:v>采购预付确认</x:v>
      </x:c>
      <x:c r="D71" t="str">
        <x:v>CASE-006</x:v>
      </x:c>
      <x:c r="E71" t="str">
        <x:v>PP-006A</x:v>
      </x:c>
      <x:c r="F71" t="str"/>
      <x:c r="G71" t="str">
        <x:v>ORG-INFRA</x:v>
      </x:c>
      <x:c r="H71" t="n">
        <x:v>46154.166666666664</x:v>
      </x:c>
      <x:c r="I71" t="n">
        <x:v>4860000</x:v>
      </x:c>
      <x:c r="J71" t="str">
        <x:v>完成</x:v>
      </x:c>
      <x:c r="K71" t="str">
        <x:v>Finance</x:v>
      </x:c>
      <x:c r="L71" t="str">
        <x:v>PP-006A</x:v>
      </x:c>
      <x:c r="M71" t="str">
        <x:v>{}</x:v>
      </x:c>
    </x:row>
    <x:row r="72">
      <x:c r="A72" t="str">
        <x:v>EVT-PKG1-007</x:v>
      </x:c>
      <x:c r="B72" t="str">
        <x:v>PROC.CollectionReceived</x:v>
      </x:c>
      <x:c r="C72" t="str">
        <x:v>销售首笔回款到账</x:v>
      </x:c>
      <x:c r="D72" t="str">
        <x:v>CASE-006</x:v>
      </x:c>
      <x:c r="E72" t="str">
        <x:v>PAY-COLLECT-006A</x:v>
      </x:c>
      <x:c r="F72" t="str"/>
      <x:c r="G72" t="str">
        <x:v>ORG-INFRA</x:v>
      </x:c>
      <x:c r="H72" t="n">
        <x:v>46160.38888888889</x:v>
      </x:c>
      <x:c r="I72" t="n">
        <x:v>4620000</x:v>
      </x:c>
      <x:c r="J72" t="str">
        <x:v>异常</x:v>
      </x:c>
      <x:c r="K72" t="str">
        <x:v>BankFlow</x:v>
      </x:c>
      <x:c r="L72" t="str">
        <x:v>PAY-COLLECT-006A</x:v>
      </x:c>
      <x:c r="M72" t="str">
        <x:v>{"same_day_with_payment":"PAY-006","difference_ratio":0.049382716}</x:v>
      </x:c>
    </x:row>
    <x:row r="73">
      <x:c r="A73" t="str">
        <x:v>EVT-PKG1-008</x:v>
      </x:c>
      <x:c r="B73" t="str">
        <x:v>PROC.CollectionReceived</x:v>
      </x:c>
      <x:c r="C73" t="str">
        <x:v>销售尾款到账</x:v>
      </x:c>
      <x:c r="D73" t="str">
        <x:v>CASE-006</x:v>
      </x:c>
      <x:c r="E73" t="str">
        <x:v>PAY-COLLECT-006B</x:v>
      </x:c>
      <x:c r="F73" t="str"/>
      <x:c r="G73" t="str">
        <x:v>ORG-INFRA</x:v>
      </x:c>
      <x:c r="H73" t="n">
        <x:v>46162.083333333336</x:v>
      </x:c>
      <x:c r="I73" t="n">
        <x:v>240300</x:v>
      </x:c>
      <x:c r="J73" t="str">
        <x:v>完成</x:v>
      </x:c>
      <x:c r="K73" t="str">
        <x:v>BankFlow</x:v>
      </x:c>
      <x:c r="L73" t="str">
        <x:v>PAY-COLLECT-006B</x:v>
      </x:c>
      <x:c r="M73" t="str">
        <x:v>{}</x:v>
      </x:c>
    </x:row>
  </x:sheetData>
  <x:mergeCells>
    <x:mergeCell ref="A1:M1"/>
    <x:mergeCell ref="A2:M2"/>
  </x:mergeCells>
  <x:conditionalFormatting sqref="J5:J50">
    <x:cfRule type="containsText" dxfId="3" priority="1" operator="containsText" text="异常"/>
  </x:conditionalFormatting>
  <x:pageMargins left="0.7" right="0.7" top="0.75" bottom="0.75" header="0.3" footer="0.3"/>
  <x:tableParts count="1">
    <x:tablePart xmlns:r="http://schemas.openxmlformats.org/officeDocument/2006/relationships" r:id="R1f3ef5fb78fe4cb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18" hidden="0" customWidth="1"/>
    <x:col min="4" max="4" width="28" hidden="0" customWidth="1"/>
    <x:col min="5" max="5" width="10" hidden="0" customWidth="1"/>
    <x:col min="6" max="6" width="10" hidden="0" customWidth="1"/>
    <x:col min="7" max="7" width="10" hidden="0" customWidth="1"/>
    <x:col min="8" max="8" width="12" hidden="0" customWidth="1"/>
    <x:col min="9" max="9" width="48" hidden="0" customWidth="1"/>
    <x:col min="10" max="10" width="28" hidden="0" customWidth="1"/>
    <x:col min="11" max="11" width="16" hidden="0" customWidth="1"/>
    <x:col min="12" max="12" width="30" hidden="0" customWidth="1"/>
    <x:col min="13" max="13" width="16" hidden="0" customWidth="1"/>
    <x:col min="14" max="14" width="12" hidden="0" customWidth="1"/>
    <x:col min="15" max="15" width="10" hidden="0" customWidth="1"/>
    <x:col min="16" max="16" width="10" hidden="0" customWidth="1"/>
    <x:col min="17" max="17" width="18" hidden="0" customWidth="1"/>
    <x:col min="18" max="18" width="28" hidden="0" customWidth="1"/>
    <x:col min="19" max="19" width="44" hidden="0" customWidth="1"/>
    <x:col min="20" max="20" width="30" hidden="0" customWidth="1"/>
    <x:col min="21" max="21" width="44" hidden="0" customWidth="1"/>
    <x:col min="22" max="22" width="36" hidden="0" customWidth="1"/>
    <x:col min="23" max="23" width="42" hidden="0" customWidth="1"/>
    <x:col min="24" max="24" width="52" hidden="0" customWidth="1"/>
    <x:col min="25" max="25" width="19" hidden="0" customWidth="1"/>
  </x:cols>
  <x:sheetData>
    <x:row r="1" ht="34" customHeight="1">
      <x:c r="A1" s="197" t="str">
        <x:v>采购与供应链风险场景配置</x:v>
      </x:c>
      <x:c r="B1" s="197"/>
      <x:c r="C1" s="197"/>
      <x:c r="D1" s="197"/>
      <x:c r="E1" s="197"/>
      <x:c r="F1" s="197"/>
      <x:c r="G1" s="197"/>
      <x:c r="H1" s="197"/>
      <x:c r="I1" s="197"/>
      <x:c r="J1" s="197"/>
      <x:c r="K1" s="197"/>
      <x:c r="L1" s="197"/>
      <x:c r="M1" s="197"/>
      <x:c r="N1" s="197"/>
      <x:c r="O1" s="197"/>
      <x:c r="P1" s="197"/>
      <x:c r="Q1" s="197"/>
      <x:c r="R1" s="197"/>
      <x:c r="S1" s="197"/>
      <x:c r="T1" s="197"/>
      <x:c r="U1" s="197"/>
      <x:c r="V1" s="197"/>
      <x:c r="W1" s="197"/>
      <x:c r="X1" s="197"/>
      <x:c r="Y1" s="197"/>
    </x:row>
    <x:row r="2" ht="32" customHeight="1">
      <x:c r="A2" s="198" t="str">
        <x:v>7个场景均可映射现有 risk_scenes / scene_versions 表；适用本体与图谱版本已统一绑定为演示版本。</x:v>
      </x:c>
      <x:c r="B2" s="198"/>
      <x:c r="C2" s="198"/>
      <x:c r="D2" s="198"/>
      <x:c r="E2" s="198"/>
      <x:c r="F2" s="198"/>
      <x:c r="G2" s="198"/>
      <x:c r="H2" s="198"/>
      <x:c r="I2" s="198"/>
      <x:c r="J2" s="198"/>
      <x:c r="K2" s="198"/>
      <x:c r="L2" s="198"/>
      <x:c r="M2" s="198"/>
      <x:c r="N2" s="198"/>
      <x:c r="O2" s="198"/>
      <x:c r="P2" s="198"/>
      <x:c r="Q2" s="198"/>
      <x:c r="R2" s="198"/>
      <x:c r="S2" s="198"/>
      <x:c r="T2" s="198"/>
      <x:c r="U2" s="198"/>
      <x:c r="V2" s="198"/>
      <x:c r="W2" s="198"/>
      <x:c r="X2" s="198"/>
      <x:c r="Y2" s="198"/>
    </x:row>
    <x:row r="3">
      <x:c r="A3" s="199"/>
      <x:c r="B3" s="199"/>
      <x:c r="C3" s="199"/>
      <x:c r="D3" s="199"/>
      <x:c r="E3" s="199"/>
      <x:c r="F3" s="199"/>
      <x:c r="G3" s="199"/>
      <x:c r="H3" s="199"/>
      <x:c r="I3" s="199"/>
      <x:c r="J3" s="199"/>
      <x:c r="K3" s="199"/>
      <x:c r="L3" s="199"/>
      <x:c r="M3" s="199"/>
      <x:c r="N3" s="199"/>
      <x:c r="O3" s="199"/>
      <x:c r="P3" s="199"/>
      <x:c r="Q3" s="199"/>
      <x:c r="R3" s="199"/>
      <x:c r="S3" s="199"/>
      <x:c r="T3" s="199"/>
      <x:c r="U3" s="199"/>
      <x:c r="V3" s="199"/>
      <x:c r="W3" s="199"/>
      <x:c r="X3" s="199"/>
      <x:c r="Y3" s="199"/>
    </x:row>
    <x:row r="4" ht="32" customHeight="1">
      <x:c r="A4" s="203" t="str">
        <x:v>场景ID</x:v>
      </x:c>
      <x:c r="B4" s="204" t="str">
        <x:v>场景版本ID</x:v>
      </x:c>
      <x:c r="C4" s="204" t="str">
        <x:v>场景编码</x:v>
      </x:c>
      <x:c r="D4" s="204" t="str">
        <x:v>场景名称</x:v>
      </x:c>
      <x:c r="E4" s="204" t="str">
        <x:v>版本</x:v>
      </x:c>
      <x:c r="F4" s="204" t="str">
        <x:v>状态</x:v>
      </x:c>
      <x:c r="G4" s="204" t="str">
        <x:v>阶段</x:v>
      </x:c>
      <x:c r="H4" s="204" t="str">
        <x:v>领域</x:v>
      </x:c>
      <x:c r="I4" s="204" t="str">
        <x:v>场景说明</x:v>
      </x:c>
      <x:c r="J4" s="204" t="str">
        <x:v>对象编码</x:v>
      </x:c>
      <x:c r="K4" s="204" t="str">
        <x:v>对象名称</x:v>
      </x:c>
      <x:c r="L4" s="204" t="str">
        <x:v>目标事件编码</x:v>
      </x:c>
      <x:c r="M4" s="204" t="str">
        <x:v>目标事件名称</x:v>
      </x:c>
      <x:c r="N4" s="204" t="str">
        <x:v>风险等级</x:v>
      </x:c>
      <x:c r="O4" s="204" t="str">
        <x:v>观察值</x:v>
      </x:c>
      <x:c r="P4" s="204" t="str">
        <x:v>单位</x:v>
      </x:c>
      <x:c r="Q4" s="204" t="str">
        <x:v>本体ID</x:v>
      </x:c>
      <x:c r="R4" s="204" t="str">
        <x:v>图谱版本</x:v>
      </x:c>
      <x:c r="S4" s="204" t="str">
        <x:v>适用组织JSON</x:v>
      </x:c>
      <x:c r="T4" s="204" t="str">
        <x:v>对象范围JSON</x:v>
      </x:c>
      <x:c r="U4" s="204" t="str">
        <x:v>例外JSON</x:v>
      </x:c>
      <x:c r="V4" s="204" t="str">
        <x:v>证据JSON</x:v>
      </x:c>
      <x:c r="W4" s="204" t="str">
        <x:v>制度依据JSON</x:v>
      </x:c>
      <x:c r="X4" s="204" t="str">
        <x:v>核查模板JSON</x:v>
      </x:c>
      <x:c r="Y4" s="205" t="str">
        <x:v>发布时间</x:v>
      </x:c>
    </x:row>
    <x:row r="5">
      <x:c r="A5" s="30" t="str">
        <x:v>SCENE-PROC-001</x:v>
      </x:c>
      <x:c r="B5" s="30" t="str">
        <x:v>SV-SCENE-PROC-001-V10</x:v>
      </x:c>
      <x:c r="C5" s="30" t="str">
        <x:v>SCENE-PROC-001</x:v>
      </x:c>
      <x:c r="D5" s="30" t="str">
        <x:v>采购方式不合规</x:v>
      </x:c>
      <x:c r="E5" s="30" t="str">
        <x:v>v1.0</x:v>
      </x:c>
      <x:c r="F5" s="30" t="str">
        <x:v>已发布</x:v>
      </x:c>
      <x:c r="G5" s="30" t="str">
        <x:v>事前</x:v>
      </x:c>
      <x:c r="H5" s="30" t="str">
        <x:v>采购</x:v>
      </x:c>
      <x:c r="I5" s="30" t="str">
        <x:v>识别达到公开招标阈值但选择非公开方式且缺少有效例外审批的项目。</x:v>
      </x:c>
      <x:c r="J5" s="30" t="str">
        <x:v>PROC.PurchaseProject</x:v>
      </x:c>
      <x:c r="K5" s="30" t="str">
        <x:v>采购项目</x:v>
      </x:c>
      <x:c r="L5" s="30" t="str">
        <x:v>PROC.ProcurementMethodChosen</x:v>
      </x:c>
      <x:c r="M5" s="30" t="str">
        <x:v>采购方式确定</x:v>
      </x:c>
      <x:c r="N5" s="30" t="str">
        <x:v>重大</x:v>
      </x:c>
      <x:c r="O5" s="36" t="n">
        <x:v>30</x:v>
      </x:c>
      <x:c r="P5" s="30" t="str">
        <x:v>天</x:v>
      </x:c>
      <x:c r="Q5" s="30" t="str">
        <x:v>ONT-PROC-DEMO</x:v>
      </x:c>
      <x:c r="R5" s="30" t="str">
        <x:v>GRAPH-PROC-DEMO-20260720.1</x:v>
      </x:c>
      <x:c r="S5" s="30" t="str">
        <x:v>["中国电子云集团","集团采购中心","各事业部采购组织"]</x:v>
      </x:c>
      <x:c r="T5" s="30" t="str">
        <x:v>{"logic":"AND","items":[]}</x:v>
      </x:c>
      <x:c r="U5" s="30" t="str">
        <x:v>{"description":"已批准的紧急采购、涉密采购或集团内部交易转人工复核","validUntil":"2027-12-31"}</x:v>
      </x:c>
      <x:c r="V5" s="30" t="str">
        <x:v>["业务来源记录","审批记录","主体关系","规则运行明细"]</x:v>
      </x:c>
      <x:c r="W5" s="30" t="str">
        <x:v>[{"name":"采购管理制度（演示）","version":"v1.0","clause":"对应场景条款待确认"}]</x:v>
      </x:c>
      <x:c r="X5" s="30" t="str">
        <x:v>{"requirements":"核验原始业务单据、审批顺序、主体关系和资金物流证据，形成可追溯结论。","materials":["业务单据","审批记录","图谱路径","规则命中明细"],"deadlineHours":24}</x:v>
      </x:c>
      <x:c r="Y5" s="68" t="n">
        <x:v>46223.083333333336</x:v>
      </x:c>
    </x:row>
    <x:row r="6">
      <x:c r="A6" s="31" t="str">
        <x:v>SCENE-PROC-002</x:v>
      </x:c>
      <x:c r="B6" s="31" t="str">
        <x:v>SV-SCENE-PROC-002-V10</x:v>
      </x:c>
      <x:c r="C6" s="31" t="str">
        <x:v>SCENE-PROC-002</x:v>
      </x:c>
      <x:c r="D6" s="31" t="str">
        <x:v>拆分采购规避集中采购</x:v>
      </x:c>
      <x:c r="E6" s="31" t="str">
        <x:v>v1.0</x:v>
      </x:c>
      <x:c r="F6" s="31" t="str">
        <x:v>已发布</x:v>
      </x:c>
      <x:c r="G6" s="31" t="str">
        <x:v>事前</x:v>
      </x:c>
      <x:c r="H6" s="31" t="str">
        <x:v>采购</x:v>
      </x:c>
      <x:c r="I6" s="31" t="str">
        <x:v>识别同一需求、品类、供应商和短周期内的多笔小额采购拆分。</x:v>
      </x:c>
      <x:c r="J6" s="31" t="str">
        <x:v>PROC.ProcurementDemand</x:v>
      </x:c>
      <x:c r="K6" s="31" t="str">
        <x:v>采购需求</x:v>
      </x:c>
      <x:c r="L6" s="31" t="str">
        <x:v>PROC.OrderIssued</x:v>
      </x:c>
      <x:c r="M6" s="31" t="str">
        <x:v>订单下达</x:v>
      </x:c>
      <x:c r="N6" s="31" t="str">
        <x:v>高</x:v>
      </x:c>
      <x:c r="O6" s="37" t="n">
        <x:v>30</x:v>
      </x:c>
      <x:c r="P6" s="31" t="str">
        <x:v>天</x:v>
      </x:c>
      <x:c r="Q6" s="31" t="str">
        <x:v>ONT-PROC-DEMO</x:v>
      </x:c>
      <x:c r="R6" s="31" t="str">
        <x:v>GRAPH-PROC-DEMO-20260720.1</x:v>
      </x:c>
      <x:c r="S6" s="31" t="str">
        <x:v>["中国电子云集团","集团采购中心","各事业部采购组织"]</x:v>
      </x:c>
      <x:c r="T6" s="31" t="str">
        <x:v>{"logic":"AND","items":[]}</x:v>
      </x:c>
      <x:c r="U6" s="31" t="str">
        <x:v>{"description":"已批准的紧急采购、涉密采购或集团内部交易转人工复核","validUntil":"2027-12-31"}</x:v>
      </x:c>
      <x:c r="V6" s="31" t="str">
        <x:v>["业务来源记录","审批记录","主体关系","规则运行明细"]</x:v>
      </x:c>
      <x:c r="W6" s="31" t="str">
        <x:v>[{"name":"采购管理制度（演示）","version":"v1.0","clause":"对应场景条款待确认"}]</x:v>
      </x:c>
      <x:c r="X6" s="31" t="str">
        <x:v>{"requirements":"核验原始业务单据、审批顺序、主体关系和资金物流证据，形成可追溯结论。","materials":["业务单据","审批记录","图谱路径","规则命中明细"],"deadlineHours":48}</x:v>
      </x:c>
      <x:c r="Y6" s="69" t="n">
        <x:v>46223.083333333336</x:v>
      </x:c>
    </x:row>
    <x:row r="7">
      <x:c r="A7" s="31" t="str">
        <x:v>SCENE-PROC-003</x:v>
      </x:c>
      <x:c r="B7" s="31" t="str">
        <x:v>SV-SCENE-PROC-003-V10</x:v>
      </x:c>
      <x:c r="C7" s="31" t="str">
        <x:v>SCENE-PROC-003</x:v>
      </x:c>
      <x:c r="D7" s="31" t="str">
        <x:v>虚假招标</x:v>
      </x:c>
      <x:c r="E7" s="31" t="str">
        <x:v>v1.0</x:v>
      </x:c>
      <x:c r="F7" s="31" t="str">
        <x:v>已发布</x:v>
      </x:c>
      <x:c r="G7" s="31" t="str">
        <x:v>事中</x:v>
      </x:c>
      <x:c r="H7" s="31" t="str">
        <x:v>采购</x:v>
      </x:c>
      <x:c r="I7" s="31" t="str">
        <x:v>识别陪标壳企业、投标文件同源、同IP同设备和短时连续提交。</x:v>
      </x:c>
      <x:c r="J7" s="31" t="str">
        <x:v>PROC.PurchaseProject</x:v>
      </x:c>
      <x:c r="K7" s="31" t="str">
        <x:v>采购项目</x:v>
      </x:c>
      <x:c r="L7" s="31" t="str">
        <x:v>PROC.BidSubmitted</x:v>
      </x:c>
      <x:c r="M7" s="31" t="str">
        <x:v>投标提交</x:v>
      </x:c>
      <x:c r="N7" s="31" t="str">
        <x:v>重大</x:v>
      </x:c>
      <x:c r="O7" s="37" t="n">
        <x:v>45</x:v>
      </x:c>
      <x:c r="P7" s="31" t="str">
        <x:v>天</x:v>
      </x:c>
      <x:c r="Q7" s="31" t="str">
        <x:v>ONT-PROC-DEMO</x:v>
      </x:c>
      <x:c r="R7" s="31" t="str">
        <x:v>GRAPH-PROC-DEMO-20260720.1</x:v>
      </x:c>
      <x:c r="S7" s="31" t="str">
        <x:v>["中国电子云集团","集团采购中心","各事业部采购组织"]</x:v>
      </x:c>
      <x:c r="T7" s="31" t="str">
        <x:v>{"logic":"AND","items":[]}</x:v>
      </x:c>
      <x:c r="U7" s="31" t="str">
        <x:v>{"description":"已批准的紧急采购、涉密采购或集团内部交易转人工复核","validUntil":"2027-12-31"}</x:v>
      </x:c>
      <x:c r="V7" s="31" t="str">
        <x:v>["业务来源记录","审批记录","主体关系","规则运行明细"]</x:v>
      </x:c>
      <x:c r="W7" s="31" t="str">
        <x:v>[{"name":"采购管理制度（演示）","version":"v1.0","clause":"对应场景条款待确认"}]</x:v>
      </x:c>
      <x:c r="X7" s="31" t="str">
        <x:v>{"requirements":"核验原始业务单据、审批顺序、主体关系和资金物流证据，形成可追溯结论。","materials":["业务单据","审批记录","图谱路径","规则命中明细"],"deadlineHours":24}</x:v>
      </x:c>
      <x:c r="Y7" s="69" t="n">
        <x:v>46223.083333333336</x:v>
      </x:c>
    </x:row>
    <x:row r="8">
      <x:c r="A8" s="31" t="str">
        <x:v>SCENE-PROC-004</x:v>
      </x:c>
      <x:c r="B8" s="31" t="str">
        <x:v>SV-SCENE-PROC-004-V10</x:v>
      </x:c>
      <x:c r="C8" s="31" t="str">
        <x:v>SCENE-PROC-004</x:v>
      </x:c>
      <x:c r="D8" s="31" t="str">
        <x:v>围标串标</x:v>
      </x:c>
      <x:c r="E8" s="31" t="str">
        <x:v>v1.0</x:v>
      </x:c>
      <x:c r="F8" s="31" t="str">
        <x:v>已发布</x:v>
      </x:c>
      <x:c r="G8" s="31" t="str">
        <x:v>事中</x:v>
      </x:c>
      <x:c r="H8" s="31" t="str">
        <x:v>采购</x:v>
      </x:c>
      <x:c r="I8" s="31" t="str">
        <x:v>识别投标主体共同控制、共同联系方式、共同账户及异常报价排列。</x:v>
      </x:c>
      <x:c r="J8" s="31" t="str">
        <x:v>PROC.PurchaseProject</x:v>
      </x:c>
      <x:c r="K8" s="31" t="str">
        <x:v>采购项目</x:v>
      </x:c>
      <x:c r="L8" s="31" t="str">
        <x:v>PROC.BidOpened</x:v>
      </x:c>
      <x:c r="M8" s="31" t="str">
        <x:v>开标</x:v>
      </x:c>
      <x:c r="N8" s="31" t="str">
        <x:v>重大</x:v>
      </x:c>
      <x:c r="O8" s="37" t="n">
        <x:v>180</x:v>
      </x:c>
      <x:c r="P8" s="31" t="str">
        <x:v>天</x:v>
      </x:c>
      <x:c r="Q8" s="31" t="str">
        <x:v>ONT-PROC-DEMO</x:v>
      </x:c>
      <x:c r="R8" s="31" t="str">
        <x:v>GRAPH-PROC-DEMO-20260720.1</x:v>
      </x:c>
      <x:c r="S8" s="31" t="str">
        <x:v>["中国电子云集团","集团采购中心","各事业部采购组织"]</x:v>
      </x:c>
      <x:c r="T8" s="31" t="str">
        <x:v>{"logic":"AND","items":[]}</x:v>
      </x:c>
      <x:c r="U8" s="31" t="str">
        <x:v>{"description":"已批准的紧急采购、涉密采购或集团内部交易转人工复核","validUntil":"2027-12-31"}</x:v>
      </x:c>
      <x:c r="V8" s="31" t="str">
        <x:v>["业务来源记录","审批记录","主体关系","规则运行明细"]</x:v>
      </x:c>
      <x:c r="W8" s="31" t="str">
        <x:v>[{"name":"采购管理制度（演示）","version":"v1.0","clause":"对应场景条款待确认"}]</x:v>
      </x:c>
      <x:c r="X8" s="31" t="str">
        <x:v>{"requirements":"核验原始业务单据、审批顺序、主体关系和资金物流证据，形成可追溯结论。","materials":["业务单据","审批记录","图谱路径","规则命中明细"],"deadlineHours":24}</x:v>
      </x:c>
      <x:c r="Y8" s="69" t="n">
        <x:v>46223.083333333336</x:v>
      </x:c>
    </x:row>
    <x:row r="9">
      <x:c r="A9" s="31" t="str">
        <x:v>SCENE-PROC-005</x:v>
      </x:c>
      <x:c r="B9" s="31" t="str">
        <x:v>SV-SCENE-PROC-005-V10</x:v>
      </x:c>
      <x:c r="C9" s="31" t="str">
        <x:v>SCENE-PROC-005</x:v>
      </x:c>
      <x:c r="D9" s="31" t="str">
        <x:v>采购流程不规范</x:v>
      </x:c>
      <x:c r="E9" s="31" t="str">
        <x:v>v1.0</x:v>
      </x:c>
      <x:c r="F9" s="31" t="str">
        <x:v>已发布</x:v>
      </x:c>
      <x:c r="G9" s="31" t="str">
        <x:v>事中</x:v>
      </x:c>
      <x:c r="H9" s="31" t="str">
        <x:v>采购</x:v>
      </x:c>
      <x:c r="I9" s="31" t="str">
        <x:v>识别公告、预算、投标期、专家抽取、评审留痕等流程顺序或材料异常。</x:v>
      </x:c>
      <x:c r="J9" s="31" t="str">
        <x:v>PROC.PurchaseProject</x:v>
      </x:c>
      <x:c r="K9" s="31" t="str">
        <x:v>采购项目</x:v>
      </x:c>
      <x:c r="L9" s="31" t="str">
        <x:v>PROC.TenderPublished</x:v>
      </x:c>
      <x:c r="M9" s="31" t="str">
        <x:v>公告发布</x:v>
      </x:c>
      <x:c r="N9" s="31" t="str">
        <x:v>高</x:v>
      </x:c>
      <x:c r="O9" s="37" t="n">
        <x:v>60</x:v>
      </x:c>
      <x:c r="P9" s="31" t="str">
        <x:v>天</x:v>
      </x:c>
      <x:c r="Q9" s="31" t="str">
        <x:v>ONT-PROC-DEMO</x:v>
      </x:c>
      <x:c r="R9" s="31" t="str">
        <x:v>GRAPH-PROC-DEMO-20260720.1</x:v>
      </x:c>
      <x:c r="S9" s="31" t="str">
        <x:v>["中国电子云集团","集团采购中心","各事业部采购组织"]</x:v>
      </x:c>
      <x:c r="T9" s="31" t="str">
        <x:v>{"logic":"AND","items":[]}</x:v>
      </x:c>
      <x:c r="U9" s="31" t="str">
        <x:v>{"description":"已批准的紧急采购、涉密采购或集团内部交易转人工复核","validUntil":"2027-12-31"}</x:v>
      </x:c>
      <x:c r="V9" s="31" t="str">
        <x:v>["业务来源记录","审批记录","主体关系","规则运行明细"]</x:v>
      </x:c>
      <x:c r="W9" s="31" t="str">
        <x:v>[{"name":"采购管理制度（演示）","version":"v1.0","clause":"对应场景条款待确认"}]</x:v>
      </x:c>
      <x:c r="X9" s="31" t="str">
        <x:v>{"requirements":"核验原始业务单据、审批顺序、主体关系和资金物流证据，形成可追溯结论。","materials":["业务单据","审批记录","图谱路径","规则命中明细"],"deadlineHours":48}</x:v>
      </x:c>
      <x:c r="Y9" s="69" t="n">
        <x:v>46223.083333333336</x:v>
      </x:c>
    </x:row>
    <x:row r="10">
      <x:c r="A10" s="31" t="str">
        <x:v>SCENE-SC-006</x:v>
      </x:c>
      <x:c r="B10" s="31" t="str">
        <x:v>SV-SCENE-SC-006-V10</x:v>
      </x:c>
      <x:c r="C10" s="31" t="str">
        <x:v>SCENE-SC-006</x:v>
      </x:c>
      <x:c r="D10" s="31" t="str">
        <x:v>虚假贸易</x:v>
      </x:c>
      <x:c r="E10" s="31" t="str">
        <x:v>v1.0</x:v>
      </x:c>
      <x:c r="F10" s="31" t="str">
        <x:v>已发布</x:v>
      </x:c>
      <x:c r="G10" s="31" t="str">
        <x:v>事后</x:v>
      </x:c>
      <x:c r="H10" s="31" t="str">
        <x:v>供应链</x:v>
      </x:c>
      <x:c r="I10" s="31" t="str">
        <x:v>识别票款齐全但无真实物流、入库、验收，或资金回流采购方关联主体的交易。</x:v>
      </x:c>
      <x:c r="J10" s="31" t="str">
        <x:v>PROC.Contract</x:v>
      </x:c>
      <x:c r="K10" s="31" t="str">
        <x:v>合同</x:v>
      </x:c>
      <x:c r="L10" s="31" t="str">
        <x:v>PROC.PaymentExecuted</x:v>
      </x:c>
      <x:c r="M10" s="31" t="str">
        <x:v>付款执行</x:v>
      </x:c>
      <x:c r="N10" s="31" t="str">
        <x:v>重大</x:v>
      </x:c>
      <x:c r="O10" s="37" t="n">
        <x:v>90</x:v>
      </x:c>
      <x:c r="P10" s="31" t="str">
        <x:v>天</x:v>
      </x:c>
      <x:c r="Q10" s="31" t="str">
        <x:v>ONT-PROC-DEMO</x:v>
      </x:c>
      <x:c r="R10" s="31" t="str">
        <x:v>GRAPH-PROC-DEMO-20260720.1</x:v>
      </x:c>
      <x:c r="S10" s="31" t="str">
        <x:v>["中国电子云集团","集团采购中心","各事业部采购组织"]</x:v>
      </x:c>
      <x:c r="T10" s="31" t="str">
        <x:v>{"logic":"AND","items":[]}</x:v>
      </x:c>
      <x:c r="U10" s="31" t="str">
        <x:v>{"description":"已批准的紧急采购、涉密采购或集团内部交易转人工复核","validUntil":"2027-12-31"}</x:v>
      </x:c>
      <x:c r="V10" s="31" t="str">
        <x:v>["业务来源记录","审批记录","主体关系","规则运行明细"]</x:v>
      </x:c>
      <x:c r="W10" s="31" t="str">
        <x:v>[{"name":"采购管理制度（演示）","version":"v1.0","clause":"对应场景条款待确认"}]</x:v>
      </x:c>
      <x:c r="X10" s="31" t="str">
        <x:v>{"requirements":"核验原始业务单据、审批顺序、主体关系和资金物流证据，形成可追溯结论。","materials":["业务单据","审批记录","图谱路径","规则命中明细"],"deadlineHours":24}</x:v>
      </x:c>
      <x:c r="Y10" s="69" t="n">
        <x:v>46223.083333333336</x:v>
      </x:c>
    </x:row>
    <x:row r="11">
      <x:c r="A11" s="32" t="str">
        <x:v>SCENE-CON-007</x:v>
      </x:c>
      <x:c r="B11" s="32" t="str">
        <x:v>SV-SCENE-CON-007-V10</x:v>
      </x:c>
      <x:c r="C11" s="32" t="str">
        <x:v>SCENE-CON-007</x:v>
      </x:c>
      <x:c r="D11" s="32" t="str">
        <x:v>中标后异常合同变更与超前付款</x:v>
      </x:c>
      <x:c r="E11" s="32" t="str">
        <x:v>v1.0</x:v>
      </x:c>
      <x:c r="F11" s="32" t="str">
        <x:v>已发布</x:v>
      </x:c>
      <x:c r="G11" s="32" t="str">
        <x:v>事后</x:v>
      </x:c>
      <x:c r="H11" s="32" t="str">
        <x:v>合同</x:v>
      </x:c>
      <x:c r="I11" s="32" t="str">
        <x:v>识别中标后短期大幅变更以及验收前高比例付款。</x:v>
      </x:c>
      <x:c r="J11" s="32" t="str">
        <x:v>PROC.Contract</x:v>
      </x:c>
      <x:c r="K11" s="32" t="str">
        <x:v>合同</x:v>
      </x:c>
      <x:c r="L11" s="32" t="str">
        <x:v>PROC.ContractChanged</x:v>
      </x:c>
      <x:c r="M11" s="32" t="str">
        <x:v>合同变更</x:v>
      </x:c>
      <x:c r="N11" s="32" t="str">
        <x:v>高</x:v>
      </x:c>
      <x:c r="O11" s="38" t="n">
        <x:v>90</x:v>
      </x:c>
      <x:c r="P11" s="32" t="str">
        <x:v>天</x:v>
      </x:c>
      <x:c r="Q11" s="32" t="str">
        <x:v>ONT-PROC-DEMO</x:v>
      </x:c>
      <x:c r="R11" s="32" t="str">
        <x:v>GRAPH-PROC-DEMO-20260720.1</x:v>
      </x:c>
      <x:c r="S11" s="32" t="str">
        <x:v>["中国电子云集团","集团采购中心","各事业部采购组织"]</x:v>
      </x:c>
      <x:c r="T11" s="32" t="str">
        <x:v>{"logic":"AND","items":[]}</x:v>
      </x:c>
      <x:c r="U11" s="32" t="str">
        <x:v>{"description":"已批准的紧急采购、涉密采购或集团内部交易转人工复核","validUntil":"2027-12-31"}</x:v>
      </x:c>
      <x:c r="V11" s="32" t="str">
        <x:v>["业务来源记录","审批记录","主体关系","规则运行明细"]</x:v>
      </x:c>
      <x:c r="W11" s="32" t="str">
        <x:v>[{"name":"采购管理制度（演示）","version":"v1.0","clause":"对应场景条款待确认"}]</x:v>
      </x:c>
      <x:c r="X11" s="32" t="str">
        <x:v>{"requirements":"核验原始业务单据、审批顺序、主体关系和资金物流证据，形成可追溯结论。","materials":["业务单据","审批记录","图谱路径","规则命中明细"],"deadlineHours":48}</x:v>
      </x:c>
      <x:c r="Y11" s="70" t="n">
        <x:v>46223.083333333336</x:v>
      </x:c>
    </x:row>
  </x:sheetData>
  <x:mergeCells>
    <x:mergeCell ref="A1:Y1"/>
    <x:mergeCell ref="A2:Y2"/>
  </x:mergeCells>
  <x:conditionalFormatting sqref="G5:G11">
    <x:cfRule type="containsText" dxfId="4" priority="1" operator="containsText" text="事前"/>
    <x:cfRule type="containsText" dxfId="5" priority="2" operator="containsText" text="事中"/>
    <x:cfRule type="containsText" dxfId="6" priority="3" operator="containsText" text="事后"/>
  </x:conditionalFormatting>
  <x:pageMargins left="0.7" right="0.7" top="0.75" bottom="0.75" header="0.3" footer="0.3"/>
  <x:tableParts count="1">
    <x:tablePart xmlns:r="http://schemas.openxmlformats.org/officeDocument/2006/relationships" r:id="R8dabb5015f8540ac"/>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34" hidden="0" customWidth="1"/>
    <x:col min="5" max="5" width="10" hidden="0" customWidth="1"/>
    <x:col min="6" max="6" width="18" hidden="0" customWidth="1"/>
    <x:col min="7" max="7" width="10" hidden="0" customWidth="1"/>
    <x:col min="8" max="8" width="14" hidden="0" customWidth="1"/>
    <x:col min="9" max="9" width="12" hidden="0" customWidth="1"/>
    <x:col min="10" max="10" width="28" hidden="0" customWidth="1"/>
    <x:col min="11" max="11" width="30" hidden="0" customWidth="1"/>
    <x:col min="12" max="12" width="18" hidden="0" customWidth="1"/>
    <x:col min="13" max="13" width="28" hidden="0" customWidth="1"/>
    <x:col min="14" max="14" width="58" hidden="0" customWidth="1"/>
    <x:col min="15" max="15" width="52" hidden="0" customWidth="1"/>
    <x:col min="16" max="16" width="52" hidden="0" customWidth="1"/>
    <x:col min="17" max="17" width="52" hidden="0" customWidth="1"/>
    <x:col min="18" max="18" width="40" hidden="0" customWidth="1"/>
    <x:col min="19" max="19" width="40" hidden="0" customWidth="1"/>
    <x:col min="20" max="20" width="52" hidden="0" customWidth="1"/>
    <x:col min="21" max="21" width="42" hidden="0" customWidth="1"/>
    <x:col min="22" max="22" width="16" hidden="0" customWidth="1"/>
    <x:col min="23" max="23" width="48" hidden="0" customWidth="1"/>
    <x:col min="24" max="24" width="10" hidden="0" customWidth="1"/>
    <x:col min="25" max="25" width="10" hidden="0" customWidth="1"/>
  </x:cols>
  <x:sheetData>
    <x:row r="1" ht="34" customHeight="1">
      <x:c r="A1" s="197" t="str">
        <x:v>采购与供应链风险规则资产</x:v>
      </x:c>
      <x:c r="B1" s="197"/>
      <x:c r="C1" s="197"/>
      <x:c r="D1" s="197"/>
      <x:c r="E1" s="197"/>
      <x:c r="F1" s="197"/>
      <x:c r="G1" s="197"/>
      <x:c r="H1" s="197"/>
      <x:c r="I1" s="197"/>
      <x:c r="J1" s="197"/>
      <x:c r="K1" s="197"/>
      <x:c r="L1" s="197"/>
      <x:c r="M1" s="197"/>
      <x:c r="N1" s="197"/>
      <x:c r="O1" s="197"/>
      <x:c r="P1" s="197"/>
      <x:c r="Q1" s="197"/>
      <x:c r="R1" s="197"/>
      <x:c r="S1" s="197"/>
      <x:c r="T1" s="197"/>
      <x:c r="U1" s="197"/>
      <x:c r="V1" s="197"/>
      <x:c r="W1" s="197"/>
      <x:c r="X1" s="197"/>
      <x:c r="Y1" s="197"/>
    </x:row>
    <x:row r="2" ht="32" customHeight="1">
      <x:c r="A2" s="198" t="str">
        <x:v>14条规则覆盖属性、字段比对、关系路径、时序和聚合类型，字段结构匹配现有 rule_assets / rule_asset_versions。</x:v>
      </x:c>
      <x:c r="B2" s="198"/>
      <x:c r="C2" s="198"/>
      <x:c r="D2" s="198"/>
      <x:c r="E2" s="198"/>
      <x:c r="F2" s="198"/>
      <x:c r="G2" s="198"/>
      <x:c r="H2" s="198"/>
      <x:c r="I2" s="198"/>
      <x:c r="J2" s="198"/>
      <x:c r="K2" s="198"/>
      <x:c r="L2" s="198"/>
      <x:c r="M2" s="198"/>
      <x:c r="N2" s="198"/>
      <x:c r="O2" s="198"/>
      <x:c r="P2" s="198"/>
      <x:c r="Q2" s="198"/>
      <x:c r="R2" s="198"/>
      <x:c r="S2" s="198"/>
      <x:c r="T2" s="198"/>
      <x:c r="U2" s="198"/>
      <x:c r="V2" s="198"/>
      <x:c r="W2" s="198"/>
      <x:c r="X2" s="198"/>
      <x:c r="Y2" s="198"/>
    </x:row>
    <x:row r="3">
      <x:c r="A3" s="199"/>
      <x:c r="B3" s="199"/>
      <x:c r="C3" s="199"/>
      <x:c r="D3" s="199"/>
      <x:c r="E3" s="199"/>
      <x:c r="F3" s="199"/>
      <x:c r="G3" s="199"/>
      <x:c r="H3" s="199"/>
      <x:c r="I3" s="199"/>
      <x:c r="J3" s="199"/>
      <x:c r="K3" s="199"/>
      <x:c r="L3" s="199"/>
      <x:c r="M3" s="199"/>
      <x:c r="N3" s="199"/>
      <x:c r="O3" s="199"/>
      <x:c r="P3" s="199"/>
      <x:c r="Q3" s="199"/>
      <x:c r="R3" s="199"/>
      <x:c r="S3" s="199"/>
      <x:c r="T3" s="199"/>
      <x:c r="U3" s="199"/>
      <x:c r="V3" s="199"/>
      <x:c r="W3" s="199"/>
      <x:c r="X3" s="199"/>
      <x:c r="Y3" s="199"/>
    </x:row>
    <x:row r="4" ht="32" customHeight="1">
      <x:c r="A4" s="203" t="str">
        <x:v>规则资产ID</x:v>
      </x:c>
      <x:c r="B4" s="204" t="str">
        <x:v>规则版本ID</x:v>
      </x:c>
      <x:c r="C4" s="204" t="str">
        <x:v>规则编码</x:v>
      </x:c>
      <x:c r="D4" s="204" t="str">
        <x:v>规则名称</x:v>
      </x:c>
      <x:c r="E4" s="204" t="str">
        <x:v>版本</x:v>
      </x:c>
      <x:c r="F4" s="204" t="str">
        <x:v>场景编码</x:v>
      </x:c>
      <x:c r="G4" s="204" t="str">
        <x:v>阶段</x:v>
      </x:c>
      <x:c r="H4" s="204" t="str">
        <x:v>规则类型</x:v>
      </x:c>
      <x:c r="I4" s="204" t="str">
        <x:v>风险等级</x:v>
      </x:c>
      <x:c r="J4" s="204" t="str">
        <x:v>对象编码</x:v>
      </x:c>
      <x:c r="K4" s="204" t="str">
        <x:v>事件编码</x:v>
      </x:c>
      <x:c r="L4" s="204" t="str">
        <x:v>本体ID</x:v>
      </x:c>
      <x:c r="M4" s="204" t="str">
        <x:v>图谱版本</x:v>
      </x:c>
      <x:c r="N4" s="204" t="str">
        <x:v>条件JSON</x:v>
      </x:c>
      <x:c r="O4" s="204" t="str">
        <x:v>路径JSON</x:v>
      </x:c>
      <x:c r="P4" s="204" t="str">
        <x:v>时序JSON</x:v>
      </x:c>
      <x:c r="Q4" s="204" t="str">
        <x:v>聚合JSON</x:v>
      </x:c>
      <x:c r="R4" s="204" t="str">
        <x:v>例外JSON</x:v>
      </x:c>
      <x:c r="S4" s="204" t="str">
        <x:v>输出JSON</x:v>
      </x:c>
      <x:c r="T4" s="204" t="str">
        <x:v>证据要求JSON</x:v>
      </x:c>
      <x:c r="U4" s="204" t="str">
        <x:v>制度依据JSON</x:v>
      </x:c>
      <x:c r="V4" s="204" t="str">
        <x:v>失败策略</x:v>
      </x:c>
      <x:c r="W4" s="204" t="str">
        <x:v>规则摘要</x:v>
      </x:c>
      <x:c r="X4" s="204" t="str">
        <x:v>状态</x:v>
      </x:c>
      <x:c r="Y4" s="205" t="str">
        <x:v>优先级</x:v>
      </x:c>
    </x:row>
    <x:row r="5">
      <x:c r="A5" s="30" t="str">
        <x:v>RULE-DEMO-001</x:v>
      </x:c>
      <x:c r="B5" s="30" t="str">
        <x:v>RAV-RULE-DEMO-001-V10</x:v>
      </x:c>
      <x:c r="C5" s="30" t="str">
        <x:v>RULE-DEMO-001</x:v>
      </x:c>
      <x:c r="D5" s="30" t="str">
        <x:v>达到公开招标阈值但采用非公开方式</x:v>
      </x:c>
      <x:c r="E5" s="30" t="str">
        <x:v>v1.0</x:v>
      </x:c>
      <x:c r="F5" s="30" t="str">
        <x:v>SCENE-PROC-001</x:v>
      </x:c>
      <x:c r="G5" s="30" t="str">
        <x:v>事前</x:v>
      </x:c>
      <x:c r="H5" s="30" t="str">
        <x:v>属性</x:v>
      </x:c>
      <x:c r="I5" s="30" t="str">
        <x:v>重大</x:v>
      </x:c>
      <x:c r="J5" s="30" t="str">
        <x:v>PROC.PurchaseProject</x:v>
      </x:c>
      <x:c r="K5" s="30" t="str">
        <x:v>PROC.ProcurementMethodChosen</x:v>
      </x:c>
      <x:c r="L5" s="30" t="str">
        <x:v>ONT-PROC-DEMO</x:v>
      </x:c>
      <x:c r="M5" s="30" t="str">
        <x:v>GRAPH-PROC-DEMO-20260720.1</x:v>
      </x:c>
      <x:c r="N5" s="30" t="str">
        <x:v>{"id":"group-root","logic":"AND","items":[{"id":"cond-1","fieldName":"PROC.PurchaseProject.estimated_amount","fieldType":"演示","valueMode":"literal","fieldCode":"PROC.PurchaseProject.estimated_amount","operator":"大于等于","value":"4000000"},{"id":"cond-2","fieldName":"PROC.ProcurementPlan.procurement_method","fieldType":"演示","valueMode":"literal","fieldCode":"PROC.ProcurementPlan.procurement_method","operator":"不等于","value":"公开招标"}]}</x:v>
      </x:c>
      <x:c r="O5" s="30" t="str">
        <x:v>{"hops":[],"logic":"AND","constraints":[]}</x:v>
      </x:c>
      <x:c r="P5" s="30" t="str">
        <x:v>{"baseline":"event","logic":"AND","conditions":[],"eventCode":"","windowValue":30,"windowUnit":"天","direction":"之前"}</x:v>
      </x:c>
      <x:c r="Q5" s="30" t="str">
        <x:v>{"logic":"AND","metrics":[],"function":"COUNT","fieldCode":"","groupBy":"","operator":"大于等于","threshold":0}</x:v>
      </x:c>
      <x:c r="R5" s="30" t="str">
        <x:v>{"enabled":true,"description":"经批准的例外事项转人工复核","whitelist":[]}</x:v>
      </x:c>
      <x:c r="S5" s="30" t="str">
        <x:v>["主体名称与编码","命中条件及实际值","来源记录与版本","规则执行时间","关系路径"]</x:v>
      </x:c>
      <x:c r="T5" s="30"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5" s="30" t="str">
        <x:v>[{"name":"采购管理制度（演示）","version":"v1.0","clause":"正式入库前确认条款"}]</x:v>
      </x:c>
      <x:c r="V5" s="30" t="str">
        <x:v>进入异常队列</x:v>
      </x:c>
      <x:c r="W5" s="30" t="str">
        <x:v>项目金额达到阈值且采购方式不是公开招标。</x:v>
      </x:c>
      <x:c r="X5" s="30" t="str">
        <x:v>已发布</x:v>
      </x:c>
      <x:c r="Y5" s="36" t="n">
        <x:v>100</x:v>
      </x:c>
    </x:row>
    <x:row r="6">
      <x:c r="A6" s="31" t="str">
        <x:v>RULE-DEMO-002</x:v>
      </x:c>
      <x:c r="B6" s="31" t="str">
        <x:v>RAV-RULE-DEMO-002-V10</x:v>
      </x:c>
      <x:c r="C6" s="31" t="str">
        <x:v>RULE-DEMO-002</x:v>
      </x:c>
      <x:c r="D6" s="31" t="str">
        <x:v>非公开采购缺少有效例外审批</x:v>
      </x:c>
      <x:c r="E6" s="31" t="str">
        <x:v>v1.0</x:v>
      </x:c>
      <x:c r="F6" s="31" t="str">
        <x:v>SCENE-PROC-001</x:v>
      </x:c>
      <x:c r="G6" s="31" t="str">
        <x:v>事前</x:v>
      </x:c>
      <x:c r="H6" s="31" t="str">
        <x:v>字段比对</x:v>
      </x:c>
      <x:c r="I6" s="31" t="str">
        <x:v>高</x:v>
      </x:c>
      <x:c r="J6" s="31" t="str">
        <x:v>PROC.ProcurementPlan</x:v>
      </x:c>
      <x:c r="K6" s="31" t="str">
        <x:v>PROC.ProcurementMethodChosen</x:v>
      </x:c>
      <x:c r="L6" s="31" t="str">
        <x:v>ONT-PROC-DEMO</x:v>
      </x:c>
      <x:c r="M6" s="31" t="str">
        <x:v>GRAPH-PROC-DEMO-20260720.1</x:v>
      </x:c>
      <x:c r="N6" s="31" t="str">
        <x:v>{"id":"group-root","logic":"AND","items":[{"id":"cond-1","fieldName":"PROC.ProcurementPlan.procurement_method","fieldType":"演示","valueMode":"literal","fieldCode":"PROC.ProcurementPlan.procurement_method","operator":"不等于","value":"公开招标"},{"id":"cond-2","fieldName":"PROC.ProcurementPlan.exception_approval_no","fieldType":"演示","valueMode":"literal","fieldCode":"PROC.ProcurementPlan.exception_approval_no","operator":"为空","value":""}]}</x:v>
      </x:c>
      <x:c r="O6" s="31" t="str">
        <x:v>{"hops":[],"logic":"AND","constraints":[]}</x:v>
      </x:c>
      <x:c r="P6" s="31" t="str">
        <x:v>{"baseline":"event","logic":"AND","conditions":[],"eventCode":"","windowValue":30,"windowUnit":"天","direction":"之前"}</x:v>
      </x:c>
      <x:c r="Q6" s="31" t="str">
        <x:v>{"logic":"AND","metrics":[],"function":"COUNT","fieldCode":"","groupBy":"","operator":"大于等于","threshold":0}</x:v>
      </x:c>
      <x:c r="R6" s="31" t="str">
        <x:v>{"enabled":true,"description":"经批准的例外事项转人工复核","whitelist":[]}</x:v>
      </x:c>
      <x:c r="S6" s="31" t="str">
        <x:v>["主体名称与编码","命中条件及实际值","来源记录与版本","规则执行时间","关系路径"]</x:v>
      </x:c>
      <x:c r="T6"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6" s="31" t="str">
        <x:v>[{"name":"采购管理制度（演示）","version":"v1.0","clause":"正式入库前确认条款"}]</x:v>
      </x:c>
      <x:c r="V6" s="31" t="str">
        <x:v>进入异常队列</x:v>
      </x:c>
      <x:c r="W6" s="31" t="str">
        <x:v>非公开采购方式未关联有效例外审批。</x:v>
      </x:c>
      <x:c r="X6" s="31" t="str">
        <x:v>已发布</x:v>
      </x:c>
      <x:c r="Y6" s="37" t="n">
        <x:v>101</x:v>
      </x:c>
    </x:row>
    <x:row r="7">
      <x:c r="A7" s="31" t="str">
        <x:v>RULE-DEMO-003</x:v>
      </x:c>
      <x:c r="B7" s="31" t="str">
        <x:v>RAV-RULE-DEMO-003-V10</x:v>
      </x:c>
      <x:c r="C7" s="31" t="str">
        <x:v>RULE-DEMO-003</x:v>
      </x:c>
      <x:c r="D7" s="31" t="str">
        <x:v>同需求同品类短期拆分采购</x:v>
      </x:c>
      <x:c r="E7" s="31" t="str">
        <x:v>v1.0</x:v>
      </x:c>
      <x:c r="F7" s="31" t="str">
        <x:v>SCENE-PROC-002</x:v>
      </x:c>
      <x:c r="G7" s="31" t="str">
        <x:v>事前</x:v>
      </x:c>
      <x:c r="H7" s="31" t="str">
        <x:v>聚合</x:v>
      </x:c>
      <x:c r="I7" s="31" t="str">
        <x:v>高</x:v>
      </x:c>
      <x:c r="J7" s="31" t="str">
        <x:v>PROC.ProcurementDemand</x:v>
      </x:c>
      <x:c r="K7" s="31" t="str">
        <x:v>PROC.OrderIssued</x:v>
      </x:c>
      <x:c r="L7" s="31" t="str">
        <x:v>ONT-PROC-DEMO</x:v>
      </x:c>
      <x:c r="M7" s="31" t="str">
        <x:v>GRAPH-PROC-DEMO-20260720.1</x:v>
      </x:c>
      <x:c r="N7" s="31" t="str">
        <x:v>{"id":"group-root","logic":"AND","items":[{"id":"cond-1","fieldName":"PROC.PurchaseProject.category","fieldType":"演示","valueMode":"field","fieldCode":"PROC.PurchaseProject.category","operator":"等于字段","valueFieldCode":"PROC.ProcurementDemand.category"}]}</x:v>
      </x:c>
      <x:c r="O7" s="31" t="str">
        <x:v>{"hops":[],"logic":"AND","constraints":[]}</x:v>
      </x:c>
      <x:c r="P7" s="31" t="str">
        <x:v>{"baseline":"event","logic":"AND","conditions":[],"eventCode":"PROC.OrderIssued","windowValue":30,"windowUnit":"天","direction":"之后"}</x:v>
      </x:c>
      <x:c r="Q7" s="31" t="str">
        <x:v>{"logic":"AND","metrics":[],"function":"SUM","fieldCode":"PROC.PurchaseOrder.order_amount","groupBy":"demand_id,category,supplier_id","operator":"大于等于","threshold":2000000}</x:v>
      </x:c>
      <x:c r="R7" s="31" t="str">
        <x:v>{"enabled":true,"description":"经批准的例外事项转人工复核","whitelist":[]}</x:v>
      </x:c>
      <x:c r="S7" s="31" t="str">
        <x:v>["主体名称与编码","命中条件及实际值","来源记录与版本","规则执行时间","关系路径"]</x:v>
      </x:c>
      <x:c r="T7"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7" s="31" t="str">
        <x:v>[{"name":"采购管理制度（演示）","version":"v1.0","clause":"正式入库前确认条款"}]</x:v>
      </x:c>
      <x:c r="V7" s="31" t="str">
        <x:v>进入异常队列</x:v>
      </x:c>
      <x:c r="W7" s="31" t="str">
        <x:v>30天内同一需求、品类和供应商订单累计超过集中采购阈值。</x:v>
      </x:c>
      <x:c r="X7" s="31" t="str">
        <x:v>已发布</x:v>
      </x:c>
      <x:c r="Y7" s="37" t="n">
        <x:v>102</x:v>
      </x:c>
    </x:row>
    <x:row r="8">
      <x:c r="A8" s="31" t="str">
        <x:v>RULE-DEMO-004</x:v>
      </x:c>
      <x:c r="B8" s="31" t="str">
        <x:v>RAV-RULE-DEMO-004-V10</x:v>
      </x:c>
      <x:c r="C8" s="31" t="str">
        <x:v>RULE-DEMO-004</x:v>
      </x:c>
      <x:c r="D8" s="31" t="str">
        <x:v>三家及以上投标共用IP或设备</x:v>
      </x:c>
      <x:c r="E8" s="31" t="str">
        <x:v>v1.0</x:v>
      </x:c>
      <x:c r="F8" s="31" t="str">
        <x:v>SCENE-PROC-003</x:v>
      </x:c>
      <x:c r="G8" s="31" t="str">
        <x:v>事中</x:v>
      </x:c>
      <x:c r="H8" s="31" t="str">
        <x:v>关系路径</x:v>
      </x:c>
      <x:c r="I8" s="31" t="str">
        <x:v>重大</x:v>
      </x:c>
      <x:c r="J8" s="31" t="str">
        <x:v>PROC.PurchaseProject</x:v>
      </x:c>
      <x:c r="K8" s="31" t="str">
        <x:v>PROC.BidSubmitted</x:v>
      </x:c>
      <x:c r="L8" s="31" t="str">
        <x:v>ONT-PROC-DEMO</x:v>
      </x:c>
      <x:c r="M8" s="31" t="str">
        <x:v>GRAPH-PROC-DEMO-20260720.1</x:v>
      </x:c>
      <x:c r="N8" s="31" t="str">
        <x:v>{"id":"group-root","logic":"OR","items":[{"id":"cond-1","fieldName":"PROC.IPAddress.ip_masked","fieldType":"演示","valueMode":"literal","fieldCode":"PROC.IPAddress.ip_masked","operator":"相同主体数大于等于","value":"3"},{"id":"cond-2","fieldName":"PROC.Device.device_fingerprint","fieldType":"演示","valueMode":"literal","fieldCode":"PROC.Device.device_fingerprint","operator":"相同主体数大于等于","value":"3"}]}</x:v>
      </x:c>
      <x:c r="O8" s="31" t="str">
        <x:v>{"hops":[{"from":"投标文件","relation":"上传自IP","to":"IP地址"},{"from":"投标文件","relation":"制作于设备","to":"终端设备"}],"logic":"AND","constraints":[]}</x:v>
      </x:c>
      <x:c r="P8" s="31" t="str">
        <x:v>{"baseline":"event","logic":"AND","conditions":[],"eventCode":"PROC.BidSubmitted","windowValue":10,"windowUnit":"分钟","direction":"前后"}</x:v>
      </x:c>
      <x:c r="Q8" s="31" t="str">
        <x:v>{"logic":"AND","metrics":[],"function":"COUNT","fieldCode":"","groupBy":"","operator":"大于等于","threshold":0}</x:v>
      </x:c>
      <x:c r="R8" s="31" t="str">
        <x:v>{"enabled":true,"description":"经批准的例外事项转人工复核","whitelist":[]}</x:v>
      </x:c>
      <x:c r="S8" s="31" t="str">
        <x:v>["主体名称与编码","命中条件及实际值","来源记录与版本","规则执行时间","关系路径"]</x:v>
      </x:c>
      <x:c r="T8"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8" s="31" t="str">
        <x:v>[{"name":"采购管理制度（演示）","version":"v1.0","clause":"正式入库前确认条款"}]</x:v>
      </x:c>
      <x:c r="V8" s="31" t="str">
        <x:v>进入异常队列</x:v>
      </x:c>
      <x:c r="W8" s="31" t="str">
        <x:v>三家投标文件同源且提交时间高度集中。</x:v>
      </x:c>
      <x:c r="X8" s="31" t="str">
        <x:v>已发布</x:v>
      </x:c>
      <x:c r="Y8" s="37" t="n">
        <x:v>103</x:v>
      </x:c>
    </x:row>
    <x:row r="9">
      <x:c r="A9" s="31" t="str">
        <x:v>RULE-DEMO-005</x:v>
      </x:c>
      <x:c r="B9" s="31" t="str">
        <x:v>RAV-RULE-DEMO-005-V10</x:v>
      </x:c>
      <x:c r="C9" s="31" t="str">
        <x:v>RULE-DEMO-005</x:v>
      </x:c>
      <x:c r="D9" s="31" t="str">
        <x:v>投标文件高度相似且存在壳企业</x:v>
      </x:c>
      <x:c r="E9" s="31" t="str">
        <x:v>v1.0</x:v>
      </x:c>
      <x:c r="F9" s="31" t="str">
        <x:v>SCENE-PROC-003</x:v>
      </x:c>
      <x:c r="G9" s="31" t="str">
        <x:v>事中</x:v>
      </x:c>
      <x:c r="H9" s="31" t="str">
        <x:v>聚合</x:v>
      </x:c>
      <x:c r="I9" s="31" t="str">
        <x:v>重大</x:v>
      </x:c>
      <x:c r="J9" s="31" t="str">
        <x:v>PROC.PurchaseProject</x:v>
      </x:c>
      <x:c r="K9" s="31" t="str">
        <x:v>PROC.BidSubmitted</x:v>
      </x:c>
      <x:c r="L9" s="31" t="str">
        <x:v>ONT-PROC-DEMO</x:v>
      </x:c>
      <x:c r="M9" s="31" t="str">
        <x:v>GRAPH-PROC-DEMO-20260720.1</x:v>
      </x:c>
      <x:c r="N9" s="31" t="str">
        <x:v>{"id":"group-root","logic":"AND","items":[{"id":"cond-1","fieldName":"PROC.BidDocument.similarity_score","fieldType":"演示","valueMode":"literal","fieldCode":"PROC.BidDocument.similarity_score","operator":"大于等于","value":"0.85"},{"id":"cond-2","fieldName":"PROC.Supplier.employee_count","fieldType":"演示","valueMode":"literal","fieldCode":"PROC.Supplier.employee_count","operator":"小于等于","value":"3"}]}</x:v>
      </x:c>
      <x:c r="O9" s="31" t="str">
        <x:v>{"hops":[],"logic":"AND","constraints":[]}</x:v>
      </x:c>
      <x:c r="P9" s="31" t="str">
        <x:v>{"baseline":"event","logic":"AND","conditions":[],"eventCode":"","windowValue":30,"windowUnit":"天","direction":"之前"}</x:v>
      </x:c>
      <x:c r="Q9" s="31" t="str">
        <x:v>{"logic":"AND","metrics":[],"function":"COUNT_DISTINCT","fieldCode":"PROC.Supplier.credit_code","groupBy":"project_id","operator":"大于等于","threshold":2}</x:v>
      </x:c>
      <x:c r="R9" s="31" t="str">
        <x:v>{"enabled":true,"description":"经批准的例外事项转人工复核","whitelist":[]}</x:v>
      </x:c>
      <x:c r="S9" s="31" t="str">
        <x:v>["主体名称与编码","命中条件及实际值","来源记录与版本","规则执行时间","关系路径"]</x:v>
      </x:c>
      <x:c r="T9"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9" s="31" t="str">
        <x:v>[{"name":"采购管理制度（演示）","version":"v1.0","clause":"正式入库前确认条款"}]</x:v>
      </x:c>
      <x:c r="V9" s="31" t="str">
        <x:v>进入异常队列</x:v>
      </x:c>
      <x:c r="W9" s="31" t="str">
        <x:v>投标文件相似度高且至少两家主体员工规模异常。</x:v>
      </x:c>
      <x:c r="X9" s="31" t="str">
        <x:v>已发布</x:v>
      </x:c>
      <x:c r="Y9" s="37" t="n">
        <x:v>104</x:v>
      </x:c>
    </x:row>
    <x:row r="10">
      <x:c r="A10" s="31" t="str">
        <x:v>RULE-DEMO-006</x:v>
      </x:c>
      <x:c r="B10" s="31" t="str">
        <x:v>RAV-RULE-DEMO-006-V10</x:v>
      </x:c>
      <x:c r="C10" s="31" t="str">
        <x:v>RULE-DEMO-006</x:v>
      </x:c>
      <x:c r="D10" s="31" t="str">
        <x:v>多家投标人受同一实际控制人控制</x:v>
      </x:c>
      <x:c r="E10" s="31" t="str">
        <x:v>v1.0</x:v>
      </x:c>
      <x:c r="F10" s="31" t="str">
        <x:v>SCENE-PROC-004</x:v>
      </x:c>
      <x:c r="G10" s="31" t="str">
        <x:v>事中</x:v>
      </x:c>
      <x:c r="H10" s="31" t="str">
        <x:v>关系路径</x:v>
      </x:c>
      <x:c r="I10" s="31" t="str">
        <x:v>重大</x:v>
      </x:c>
      <x:c r="J10" s="31" t="str">
        <x:v>PROC.PurchaseProject</x:v>
      </x:c>
      <x:c r="K10" s="31" t="str">
        <x:v>PROC.BidOpened</x:v>
      </x:c>
      <x:c r="L10" s="31" t="str">
        <x:v>ONT-PROC-DEMO</x:v>
      </x:c>
      <x:c r="M10" s="31" t="str">
        <x:v>GRAPH-PROC-DEMO-20260720.1</x:v>
      </x:c>
      <x:c r="N10" s="31" t="str">
        <x:v>{"id":"group-root","logic":"AND","items":[{"id":"cond-1","fieldName":"PROC.Person.person_id","fieldType":"演示","valueMode":"literal","fieldCode":"PROC.Person.person_id","operator":"关联投标人数大于等于","value":"2"}]}</x:v>
      </x:c>
      <x:c r="O10" s="31" t="str">
        <x:v>{"hops":[{"from":"人员","relation":"实际控制","to":"供应商"},{"from":"供应商","relation":"提交投标","to":"投标"},{"from":"投标","relation":"投标项目","to":"采购项目"}],"logic":"AND","constraints":[]}</x:v>
      </x:c>
      <x:c r="P10" s="31" t="str">
        <x:v>{"baseline":"event","logic":"AND","conditions":[],"eventCode":"PROC.BidOpened","windowValue":180,"windowUnit":"天","direction":"之前"}</x:v>
      </x:c>
      <x:c r="Q10" s="31" t="str">
        <x:v>{"logic":"AND","metrics":[],"function":"COUNT","fieldCode":"","groupBy":"","operator":"大于等于","threshold":0}</x:v>
      </x:c>
      <x:c r="R10" s="31" t="str">
        <x:v>{"enabled":true,"description":"经批准的例外事项转人工复核","whitelist":[]}</x:v>
      </x:c>
      <x:c r="S10" s="31" t="str">
        <x:v>["主体名称与编码","命中条件及实际值","来源记录与版本","规则执行时间","关系路径"]</x:v>
      </x:c>
      <x:c r="T10"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0" s="31" t="str">
        <x:v>[{"name":"采购管理制度（演示）","version":"v1.0","clause":"正式入库前确认条款"}]</x:v>
      </x:c>
      <x:c r="V10" s="31" t="str">
        <x:v>进入异常队列</x:v>
      </x:c>
      <x:c r="W10" s="31" t="str">
        <x:v>同一实际控制人关联多个投标主体。</x:v>
      </x:c>
      <x:c r="X10" s="31" t="str">
        <x:v>已发布</x:v>
      </x:c>
      <x:c r="Y10" s="37" t="n">
        <x:v>105</x:v>
      </x:c>
    </x:row>
    <x:row r="11">
      <x:c r="A11" s="31" t="str">
        <x:v>RULE-DEMO-007</x:v>
      </x:c>
      <x:c r="B11" s="31" t="str">
        <x:v>RAV-RULE-DEMO-007-V10</x:v>
      </x:c>
      <x:c r="C11" s="31" t="str">
        <x:v>RULE-DEMO-007</x:v>
      </x:c>
      <x:c r="D11" s="31" t="str">
        <x:v>投标保证金同源且报价呈等差排列</x:v>
      </x:c>
      <x:c r="E11" s="31" t="str">
        <x:v>v1.0</x:v>
      </x:c>
      <x:c r="F11" s="31" t="str">
        <x:v>SCENE-PROC-004</x:v>
      </x:c>
      <x:c r="G11" s="31" t="str">
        <x:v>事中</x:v>
      </x:c>
      <x:c r="H11" s="31" t="str">
        <x:v>聚合</x:v>
      </x:c>
      <x:c r="I11" s="31" t="str">
        <x:v>重大</x:v>
      </x:c>
      <x:c r="J11" s="31" t="str">
        <x:v>PROC.PurchaseProject</x:v>
      </x:c>
      <x:c r="K11" s="31" t="str">
        <x:v>PROC.BidOpened</x:v>
      </x:c>
      <x:c r="L11" s="31" t="str">
        <x:v>ONT-PROC-DEMO</x:v>
      </x:c>
      <x:c r="M11" s="31" t="str">
        <x:v>GRAPH-PROC-DEMO-20260720.1</x:v>
      </x:c>
      <x:c r="N11" s="31" t="str">
        <x:v>{"id":"group-root","logic":"AND","items":[{"id":"cond-1","fieldName":"PROC.BankAccount.account_no_masked","fieldType":"演示","valueMode":"literal","fieldCode":"PROC.BankAccount.account_no_masked","operator":"相同","value":"同一项目多个投标人"}]}</x:v>
      </x:c>
      <x:c r="O11" s="31" t="str">
        <x:v>{"hops":[{"from":"供应商","relation":"使用账户","to":"银行账户"}],"logic":"AND","constraints":[]}</x:v>
      </x:c>
      <x:c r="P11" s="31" t="str">
        <x:v>{"baseline":"event","logic":"AND","conditions":[],"eventCode":"","windowValue":30,"windowUnit":"天","direction":"之前"}</x:v>
      </x:c>
      <x:c r="Q11" s="31" t="str">
        <x:v>{"logic":"AND","metrics":[],"function":"MAX_MIN_RATIO","fieldCode":"PROC.Bid.bid_amount","groupBy":"project_id","operator":"小于等于","threshold":0.005}</x:v>
      </x:c>
      <x:c r="R11" s="31" t="str">
        <x:v>{"enabled":true,"description":"经批准的例外事项转人工复核","whitelist":[]}</x:v>
      </x:c>
      <x:c r="S11" s="31" t="str">
        <x:v>["主体名称与编码","命中条件及实际值","来源记录与版本","规则执行时间","关系路径"]</x:v>
      </x:c>
      <x:c r="T11"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1" s="31" t="str">
        <x:v>[{"name":"采购管理制度（演示）","version":"v1.0","clause":"正式入库前确认条款"}]</x:v>
      </x:c>
      <x:c r="V11" s="31" t="str">
        <x:v>进入异常队列</x:v>
      </x:c>
      <x:c r="W11" s="31" t="str">
        <x:v>多个投标保证金账户同源且报价差异低于0.5%。</x:v>
      </x:c>
      <x:c r="X11" s="31" t="str">
        <x:v>已发布</x:v>
      </x:c>
      <x:c r="Y11" s="37" t="n">
        <x:v>106</x:v>
      </x:c>
    </x:row>
    <x:row r="12">
      <x:c r="A12" s="31" t="str">
        <x:v>RULE-DEMO-008</x:v>
      </x:c>
      <x:c r="B12" s="31" t="str">
        <x:v>RAV-RULE-DEMO-008-V10</x:v>
      </x:c>
      <x:c r="C12" s="31" t="str">
        <x:v>RULE-DEMO-008</x:v>
      </x:c>
      <x:c r="D12" s="31" t="str">
        <x:v>招标公告早于预算批复</x:v>
      </x:c>
      <x:c r="E12" s="31" t="str">
        <x:v>v1.0</x:v>
      </x:c>
      <x:c r="F12" s="31" t="str">
        <x:v>SCENE-PROC-005</x:v>
      </x:c>
      <x:c r="G12" s="31" t="str">
        <x:v>事中</x:v>
      </x:c>
      <x:c r="H12" s="31" t="str">
        <x:v>时序</x:v>
      </x:c>
      <x:c r="I12" s="31" t="str">
        <x:v>高</x:v>
      </x:c>
      <x:c r="J12" s="31" t="str">
        <x:v>PROC.PurchaseProject</x:v>
      </x:c>
      <x:c r="K12" s="31" t="str">
        <x:v>PROC.TenderPublished</x:v>
      </x:c>
      <x:c r="L12" s="31" t="str">
        <x:v>ONT-PROC-DEMO</x:v>
      </x:c>
      <x:c r="M12" s="31" t="str">
        <x:v>GRAPH-PROC-DEMO-20260720.1</x:v>
      </x:c>
      <x:c r="N12" s="31" t="str">
        <x:v>{"id":"group-root","logic":"AND","items":[]}</x:v>
      </x:c>
      <x:c r="O12" s="31" t="str">
        <x:v>{"hops":[],"logic":"AND","constraints":[]}</x:v>
      </x:c>
      <x:c r="P12" s="31" t="str">
        <x:v>{"baseline":"event","logic":"AND","conditions":[{"eventCode":"PROC.BudgetApproved","requirement":"必须发生"}],"eventCode":"PROC.TenderPublished","windowValue":0,"windowUnit":"天","direction":"之前"}</x:v>
      </x:c>
      <x:c r="Q12" s="31" t="str">
        <x:v>{"logic":"AND","metrics":[],"function":"COUNT","fieldCode":"","groupBy":"","operator":"大于等于","threshold":0}</x:v>
      </x:c>
      <x:c r="R12" s="31" t="str">
        <x:v>{"enabled":true,"description":"经批准的例外事项转人工复核","whitelist":[]}</x:v>
      </x:c>
      <x:c r="S12" s="31" t="str">
        <x:v>["主体名称与编码","命中条件及实际值","来源记录与版本","规则执行时间","关系路径"]</x:v>
      </x:c>
      <x:c r="T12"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2" s="31" t="str">
        <x:v>[{"name":"采购管理制度（演示）","version":"v1.0","clause":"正式入库前确认条款"}]</x:v>
      </x:c>
      <x:c r="V12" s="31" t="str">
        <x:v>进入异常队列</x:v>
      </x:c>
      <x:c r="W12" s="31" t="str">
        <x:v>公告发布前预算批复必须已经完成。</x:v>
      </x:c>
      <x:c r="X12" s="31" t="str">
        <x:v>已发布</x:v>
      </x:c>
      <x:c r="Y12" s="37" t="n">
        <x:v>107</x:v>
      </x:c>
    </x:row>
    <x:row r="13">
      <x:c r="A13" s="31" t="str">
        <x:v>RULE-DEMO-009</x:v>
      </x:c>
      <x:c r="B13" s="31" t="str">
        <x:v>RAV-RULE-DEMO-009-V10</x:v>
      </x:c>
      <x:c r="C13" s="31" t="str">
        <x:v>RULE-DEMO-009</x:v>
      </x:c>
      <x:c r="D13" s="31" t="str">
        <x:v>公开招标投标期不足20天</x:v>
      </x:c>
      <x:c r="E13" s="31" t="str">
        <x:v>v1.0</x:v>
      </x:c>
      <x:c r="F13" s="31" t="str">
        <x:v>SCENE-PROC-005</x:v>
      </x:c>
      <x:c r="G13" s="31" t="str">
        <x:v>事中</x:v>
      </x:c>
      <x:c r="H13" s="31" t="str">
        <x:v>字段比对</x:v>
      </x:c>
      <x:c r="I13" s="31" t="str">
        <x:v>高</x:v>
      </x:c>
      <x:c r="J13" s="31" t="str">
        <x:v>PROC.TenderAnnouncement</x:v>
      </x:c>
      <x:c r="K13" s="31" t="str">
        <x:v>PROC.TenderPublished</x:v>
      </x:c>
      <x:c r="L13" s="31" t="str">
        <x:v>ONT-PROC-DEMO</x:v>
      </x:c>
      <x:c r="M13" s="31" t="str">
        <x:v>GRAPH-PROC-DEMO-20260720.1</x:v>
      </x:c>
      <x:c r="N13" s="31" t="str">
        <x:v>{"id":"group-root","logic":"AND","items":[{"id":"cond-1","fieldName":"DATE_DIFF(bid_deadline,publish_at)","fieldType":"演示","valueMode":"literal","fieldCode":"DATE_DIFF(bid_deadline,publish_at)","operator":"小于","value":"20"}]}</x:v>
      </x:c>
      <x:c r="O13" s="31" t="str">
        <x:v>{"hops":[],"logic":"AND","constraints":[]}</x:v>
      </x:c>
      <x:c r="P13" s="31" t="str">
        <x:v>{"baseline":"event","logic":"AND","conditions":[],"eventCode":"","windowValue":30,"windowUnit":"天","direction":"之前"}</x:v>
      </x:c>
      <x:c r="Q13" s="31" t="str">
        <x:v>{"logic":"AND","metrics":[],"function":"COUNT","fieldCode":"","groupBy":"","operator":"大于等于","threshold":0}</x:v>
      </x:c>
      <x:c r="R13" s="31" t="str">
        <x:v>{"enabled":true,"description":"经批准的例外事项转人工复核","whitelist":[]}</x:v>
      </x:c>
      <x:c r="S13" s="31" t="str">
        <x:v>["主体名称与编码","命中条件及实际值","来源记录与版本","规则执行时间","关系路径"]</x:v>
      </x:c>
      <x:c r="T13"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3" s="31" t="str">
        <x:v>[{"name":"采购管理制度（演示）","version":"v1.0","clause":"正式入库前确认条款"}]</x:v>
      </x:c>
      <x:c r="V13" s="31" t="str">
        <x:v>进入异常队列</x:v>
      </x:c>
      <x:c r="W13" s="31" t="str">
        <x:v>公开招标公告至投标截止不足20天。</x:v>
      </x:c>
      <x:c r="X13" s="31" t="str">
        <x:v>已发布</x:v>
      </x:c>
      <x:c r="Y13" s="37" t="n">
        <x:v>108</x:v>
      </x:c>
    </x:row>
    <x:row r="14">
      <x:c r="A14" s="31" t="str">
        <x:v>RULE-DEMO-010</x:v>
      </x:c>
      <x:c r="B14" s="31" t="str">
        <x:v>RAV-RULE-DEMO-010-V10</x:v>
      </x:c>
      <x:c r="C14" s="31" t="str">
        <x:v>RULE-DEMO-010</x:v>
      </x:c>
      <x:c r="D14" s="31" t="str">
        <x:v>评审专家指定且无抽取记录</x:v>
      </x:c>
      <x:c r="E14" s="31" t="str">
        <x:v>v1.0</x:v>
      </x:c>
      <x:c r="F14" s="31" t="str">
        <x:v>SCENE-PROC-005</x:v>
      </x:c>
      <x:c r="G14" s="31" t="str">
        <x:v>事中</x:v>
      </x:c>
      <x:c r="H14" s="31" t="str">
        <x:v>属性</x:v>
      </x:c>
      <x:c r="I14" s="31" t="str">
        <x:v>高</x:v>
      </x:c>
      <x:c r="J14" s="31" t="str">
        <x:v>PROC.ReviewPanel</x:v>
      </x:c>
      <x:c r="K14" s="31" t="str">
        <x:v>PROC.PanelSelected</x:v>
      </x:c>
      <x:c r="L14" s="31" t="str">
        <x:v>ONT-PROC-DEMO</x:v>
      </x:c>
      <x:c r="M14" s="31" t="str">
        <x:v>GRAPH-PROC-DEMO-20260720.1</x:v>
      </x:c>
      <x:c r="N14" s="31" t="str">
        <x:v>{"id":"group-root","logic":"AND","items":[{"id":"cond-1","fieldName":"PROC.ReviewPanel.selection_method","fieldType":"演示","valueMode":"literal","fieldCode":"PROC.ReviewPanel.selection_method","operator":"等于","value":"指定"},{"id":"cond-2","fieldName":"PROC.ReviewPanel.draw_record_no","fieldType":"演示","valueMode":"literal","fieldCode":"PROC.ReviewPanel.draw_record_no","operator":"为空","value":""}]}</x:v>
      </x:c>
      <x:c r="O14" s="31" t="str">
        <x:v>{"hops":[],"logic":"AND","constraints":[]}</x:v>
      </x:c>
      <x:c r="P14" s="31" t="str">
        <x:v>{"baseline":"event","logic":"AND","conditions":[],"eventCode":"","windowValue":30,"windowUnit":"天","direction":"之前"}</x:v>
      </x:c>
      <x:c r="Q14" s="31" t="str">
        <x:v>{"logic":"AND","metrics":[],"function":"COUNT","fieldCode":"","groupBy":"","operator":"大于等于","threshold":0}</x:v>
      </x:c>
      <x:c r="R14" s="31" t="str">
        <x:v>{"enabled":true,"description":"经批准的例外事项转人工复核","whitelist":[]}</x:v>
      </x:c>
      <x:c r="S14" s="31" t="str">
        <x:v>["主体名称与编码","命中条件及实际值","来源记录与版本","规则执行时间","关系路径"]</x:v>
      </x:c>
      <x:c r="T14"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4" s="31" t="str">
        <x:v>[{"name":"采购管理制度（演示）","version":"v1.0","clause":"正式入库前确认条款"}]</x:v>
      </x:c>
      <x:c r="V14" s="31" t="str">
        <x:v>进入异常队列</x:v>
      </x:c>
      <x:c r="W14" s="31" t="str">
        <x:v>专家非随机抽取且未留存抽取记录。</x:v>
      </x:c>
      <x:c r="X14" s="31" t="str">
        <x:v>已发布</x:v>
      </x:c>
      <x:c r="Y14" s="37" t="n">
        <x:v>109</x:v>
      </x:c>
    </x:row>
    <x:row r="15">
      <x:c r="A15" s="31" t="str">
        <x:v>RULE-DEMO-011</x:v>
      </x:c>
      <x:c r="B15" s="31" t="str">
        <x:v>RAV-RULE-DEMO-011-V10</x:v>
      </x:c>
      <x:c r="C15" s="31" t="str">
        <x:v>RULE-DEMO-011</x:v>
      </x:c>
      <x:c r="D15" s="31" t="str">
        <x:v>票款齐全但物流入库验收异常</x:v>
      </x:c>
      <x:c r="E15" s="31" t="str">
        <x:v>v1.0</x:v>
      </x:c>
      <x:c r="F15" s="31" t="str">
        <x:v>SCENE-SC-006</x:v>
      </x:c>
      <x:c r="G15" s="31" t="str">
        <x:v>事后</x:v>
      </x:c>
      <x:c r="H15" s="31" t="str">
        <x:v>时序</x:v>
      </x:c>
      <x:c r="I15" s="31" t="str">
        <x:v>重大</x:v>
      </x:c>
      <x:c r="J15" s="31" t="str">
        <x:v>PROC.Contract</x:v>
      </x:c>
      <x:c r="K15" s="31" t="str">
        <x:v>PROC.PaymentExecuted</x:v>
      </x:c>
      <x:c r="L15" s="31" t="str">
        <x:v>ONT-PROC-DEMO</x:v>
      </x:c>
      <x:c r="M15" s="31" t="str">
        <x:v>GRAPH-PROC-DEMO-20260720.1</x:v>
      </x:c>
      <x:c r="N15" s="31" t="str">
        <x:v>{"id":"group-root","logic":"AND","items":[{"id":"cond-1","fieldName":"PROC.LogisticsRecord.gps_distance","fieldType":"演示","valueMode":"literal","fieldCode":"PROC.LogisticsRecord.gps_distance","operator":"明显小于合理运输里程","value":"true"},{"id":"cond-2","fieldName":"PROC.GoodsReceipt.receipt_status","fieldType":"演示","valueMode":"literal","fieldCode":"PROC.GoodsReceipt.receipt_status","operator":"不等于","value":"已收货"}]}</x:v>
      </x:c>
      <x:c r="O15" s="31" t="str">
        <x:v>{"hops":[{"from":"合同","relation":"下达订单","to":"采购订单"},{"from":"采购订单","relation":"物流运输","to":"物流记录"},{"from":"采购订单","relation":"形成收货","to":"收货记录"}],"logic":"AND","constraints":[]}</x:v>
      </x:c>
      <x:c r="P15" s="31" t="str">
        <x:v>{"baseline":"event","logic":"AND","conditions":[{"eventCode":"PROC.InspectionAccepted","requirement":"必须发生"}],"eventCode":"PROC.PaymentExecuted","windowValue":0,"windowUnit":"天","direction":"之前"}</x:v>
      </x:c>
      <x:c r="Q15" s="31" t="str">
        <x:v>{"logic":"AND","metrics":[],"function":"COUNT","fieldCode":"","groupBy":"","operator":"大于等于","threshold":0}</x:v>
      </x:c>
      <x:c r="R15" s="31" t="str">
        <x:v>{"enabled":true,"description":"经批准的例外事项转人工复核","whitelist":[]}</x:v>
      </x:c>
      <x:c r="S15" s="31" t="str">
        <x:v>["主体名称与编码","命中条件及实际值","来源记录与版本","规则执行时间","关系路径"]</x:v>
      </x:c>
      <x:c r="T15"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5" s="31" t="str">
        <x:v>[{"name":"采购管理制度（演示）","version":"v1.0","clause":"正式入库前确认条款"}]</x:v>
      </x:c>
      <x:c r="V15" s="31" t="str">
        <x:v>进入异常队列</x:v>
      </x:c>
      <x:c r="W15" s="31" t="str">
        <x:v>付款前未形成可信物流、入库和验收闭环。</x:v>
      </x:c>
      <x:c r="X15" s="31" t="str">
        <x:v>已发布</x:v>
      </x:c>
      <x:c r="Y15" s="37" t="n">
        <x:v>110</x:v>
      </x:c>
    </x:row>
    <x:row r="16">
      <x:c r="A16" s="31" t="str">
        <x:v>RULE-DEMO-012</x:v>
      </x:c>
      <x:c r="B16" s="31" t="str">
        <x:v>RAV-RULE-DEMO-012-V10</x:v>
      </x:c>
      <x:c r="C16" s="31" t="str">
        <x:v>RULE-DEMO-012</x:v>
      </x:c>
      <x:c r="D16" s="31" t="str">
        <x:v>付款后资金回流采购方关联主体</x:v>
      </x:c>
      <x:c r="E16" s="31" t="str">
        <x:v>v1.0</x:v>
      </x:c>
      <x:c r="F16" s="31" t="str">
        <x:v>SCENE-SC-006</x:v>
      </x:c>
      <x:c r="G16" s="31" t="str">
        <x:v>事后</x:v>
      </x:c>
      <x:c r="H16" s="31" t="str">
        <x:v>关系路径</x:v>
      </x:c>
      <x:c r="I16" s="31" t="str">
        <x:v>重大</x:v>
      </x:c>
      <x:c r="J16" s="31" t="str">
        <x:v>PROC.Contract</x:v>
      </x:c>
      <x:c r="K16" s="31" t="str">
        <x:v>PROC.PaymentExecuted</x:v>
      </x:c>
      <x:c r="L16" s="31" t="str">
        <x:v>ONT-PROC-DEMO</x:v>
      </x:c>
      <x:c r="M16" s="31" t="str">
        <x:v>GRAPH-PROC-DEMO-20260720.1</x:v>
      </x:c>
      <x:c r="N16" s="31" t="str">
        <x:v>{"id":"group-root","logic":"AND","items":[{"id":"cond-1","fieldName":"transfer_ratio","fieldType":"演示","valueMode":"literal","fieldCode":"transfer_ratio","operator":"大于等于","value":"0.8"}]}</x:v>
      </x:c>
      <x:c r="O16" s="31" t="str">
        <x:v>{"hops":[{"from":"付款","relation":"支付账户","to":"供应商账户"},{"from":"供应商账户","relation":"资金流向","to":"关联企业账户"}],"logic":"AND","constraints":[]}</x:v>
      </x:c>
      <x:c r="P16" s="31" t="str">
        <x:v>{"baseline":"event","logic":"AND","conditions":[],"eventCode":"PROC.FundTransferred","windowValue":3,"windowUnit":"天","direction":"之后"}</x:v>
      </x:c>
      <x:c r="Q16" s="31" t="str">
        <x:v>{"logic":"AND","metrics":[],"function":"SUM","fieldCode":"transfer_amount","groupBy":"payment_id,to_related_party","operator":"大于等于付款比例","threshold":0.8}</x:v>
      </x:c>
      <x:c r="R16" s="31" t="str">
        <x:v>{"enabled":true,"description":"经批准的例外事项转人工复核","whitelist":[]}</x:v>
      </x:c>
      <x:c r="S16" s="31" t="str">
        <x:v>["主体名称与编码","命中条件及实际值","来源记录与版本","规则执行时间","关系路径"]</x:v>
      </x:c>
      <x:c r="T16"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6" s="31" t="str">
        <x:v>[{"name":"采购管理制度（演示）","version":"v1.0","clause":"正式入库前确认条款"}]</x:v>
      </x:c>
      <x:c r="V16" s="31" t="str">
        <x:v>进入异常队列</x:v>
      </x:c>
      <x:c r="W16" s="31" t="str">
        <x:v>付款后3天内80%以上资金流向采购方关联主体。</x:v>
      </x:c>
      <x:c r="X16" s="31" t="str">
        <x:v>已发布</x:v>
      </x:c>
      <x:c r="Y16" s="37" t="n">
        <x:v>111</x:v>
      </x:c>
    </x:row>
    <x:row r="17">
      <x:c r="A17" s="31" t="str">
        <x:v>RULE-DEMO-013</x:v>
      </x:c>
      <x:c r="B17" s="31" t="str">
        <x:v>RAV-RULE-DEMO-013-V10</x:v>
      </x:c>
      <x:c r="C17" s="31" t="str">
        <x:v>RULE-DEMO-013</x:v>
      </x:c>
      <x:c r="D17" s="31" t="str">
        <x:v>中标后90天内合同增幅超过20%</x:v>
      </x:c>
      <x:c r="E17" s="31" t="str">
        <x:v>v1.0</x:v>
      </x:c>
      <x:c r="F17" s="31" t="str">
        <x:v>SCENE-CON-007</x:v>
      </x:c>
      <x:c r="G17" s="31" t="str">
        <x:v>事后</x:v>
      </x:c>
      <x:c r="H17" s="31" t="str">
        <x:v>聚合</x:v>
      </x:c>
      <x:c r="I17" s="31" t="str">
        <x:v>高</x:v>
      </x:c>
      <x:c r="J17" s="31" t="str">
        <x:v>PROC.Contract</x:v>
      </x:c>
      <x:c r="K17" s="31" t="str">
        <x:v>PROC.ContractChanged</x:v>
      </x:c>
      <x:c r="L17" s="31" t="str">
        <x:v>ONT-PROC-DEMO</x:v>
      </x:c>
      <x:c r="M17" s="31" t="str">
        <x:v>GRAPH-PROC-DEMO-20260720.1</x:v>
      </x:c>
      <x:c r="N17" s="31" t="str">
        <x:v>{"id":"group-root","logic":"AND","items":[]}</x:v>
      </x:c>
      <x:c r="O17" s="31" t="str">
        <x:v>{"hops":[],"logic":"AND","constraints":[]}</x:v>
      </x:c>
      <x:c r="P17" s="31" t="str">
        <x:v>{"baseline":"event","logic":"AND","conditions":[],"eventCode":"PROC.ContractChanged","windowValue":90,"windowUnit":"天","direction":"之后"}</x:v>
      </x:c>
      <x:c r="Q17" s="31" t="str">
        <x:v>{"logic":"AND","metrics":[],"function":"SUM","fieldCode":"PROC.ContractChange.change_amount","groupBy":"contract_id","operator":"变更比例大于","threshold":0.2}</x:v>
      </x:c>
      <x:c r="R17" s="31" t="str">
        <x:v>{"enabled":true,"description":"经批准的例外事项转人工复核","whitelist":[]}</x:v>
      </x:c>
      <x:c r="S17" s="31" t="str">
        <x:v>["主体名称与编码","命中条件及实际值","来源记录与版本","规则执行时间","关系路径"]</x:v>
      </x:c>
      <x:c r="T17" s="31"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7" s="31" t="str">
        <x:v>[{"name":"采购管理制度（演示）","version":"v1.0","clause":"正式入库前确认条款"}]</x:v>
      </x:c>
      <x:c r="V17" s="31" t="str">
        <x:v>进入异常队列</x:v>
      </x:c>
      <x:c r="W17" s="31" t="str">
        <x:v>中标或签约后90天内累计合同增幅超过20%。</x:v>
      </x:c>
      <x:c r="X17" s="31" t="str">
        <x:v>已发布</x:v>
      </x:c>
      <x:c r="Y17" s="37" t="n">
        <x:v>112</x:v>
      </x:c>
    </x:row>
    <x:row r="18">
      <x:c r="A18" s="32" t="str">
        <x:v>RULE-DEMO-014</x:v>
      </x:c>
      <x:c r="B18" s="32" t="str">
        <x:v>RAV-RULE-DEMO-014-V10</x:v>
      </x:c>
      <x:c r="C18" s="32" t="str">
        <x:v>RULE-DEMO-014</x:v>
      </x:c>
      <x:c r="D18" s="32" t="str">
        <x:v>验收前累计付款超过合同80%</x:v>
      </x:c>
      <x:c r="E18" s="32" t="str">
        <x:v>v1.0</x:v>
      </x:c>
      <x:c r="F18" s="32" t="str">
        <x:v>SCENE-CON-007</x:v>
      </x:c>
      <x:c r="G18" s="32" t="str">
        <x:v>事后</x:v>
      </x:c>
      <x:c r="H18" s="32" t="str">
        <x:v>时序</x:v>
      </x:c>
      <x:c r="I18" s="32" t="str">
        <x:v>高</x:v>
      </x:c>
      <x:c r="J18" s="32" t="str">
        <x:v>PROC.Contract</x:v>
      </x:c>
      <x:c r="K18" s="32" t="str">
        <x:v>PROC.PaymentExecuted</x:v>
      </x:c>
      <x:c r="L18" s="32" t="str">
        <x:v>ONT-PROC-DEMO</x:v>
      </x:c>
      <x:c r="M18" s="32" t="str">
        <x:v>GRAPH-PROC-DEMO-20260720.1</x:v>
      </x:c>
      <x:c r="N18" s="32" t="str">
        <x:v>{"id":"group-root","logic":"AND","items":[{"id":"cond-1","fieldName":"payment_ratio","fieldType":"演示","valueMode":"literal","fieldCode":"payment_ratio","operator":"大于","value":"0.8"}]}</x:v>
      </x:c>
      <x:c r="O18" s="32" t="str">
        <x:v>{"hops":[],"logic":"AND","constraints":[]}</x:v>
      </x:c>
      <x:c r="P18" s="32" t="str">
        <x:v>{"baseline":"event","logic":"AND","conditions":[{"eventCode":"PROC.InspectionAccepted","requirement":"必须发生"}],"eventCode":"PROC.PaymentExecuted","windowValue":0,"windowUnit":"天","direction":"之前"}</x:v>
      </x:c>
      <x:c r="Q18" s="32" t="str">
        <x:v>{"logic":"AND","metrics":[],"function":"SUM","fieldCode":"PROC.Payment.payment_amount","groupBy":"contract_id","operator":"占合同金额比例大于","threshold":0.8}</x:v>
      </x:c>
      <x:c r="R18" s="32" t="str">
        <x:v>{"enabled":true,"description":"经批准的例外事项转人工复核","whitelist":[]}</x:v>
      </x:c>
      <x:c r="S18" s="32" t="str">
        <x:v>["主体名称与编码","命中条件及实际值","来源记录与版本","规则执行时间","关系路径"]</x:v>
      </x:c>
      <x:c r="T18" s="32" t="str">
        <x:v>[{"id":"e1","name":"业务来源记录","source":"ERP/电子采购/合同系统","sourceField":"业务单据编号","attachmentRequirement":"可选附件","completeness":"来源系统、记录编号、取数批次必填","description":""},{"id":"e2","name":"规则运行明细","source":"规则运行服务","sourceField":"命中条件及实际值","attachmentRequirement":"无需附件","completeness":"规则版本、命中值、执行时间必填","description":""}]</x:v>
      </x:c>
      <x:c r="U18" s="32" t="str">
        <x:v>[{"name":"采购管理制度（演示）","version":"v1.0","clause":"正式入库前确认条款"}]</x:v>
      </x:c>
      <x:c r="V18" s="32" t="str">
        <x:v>进入异常队列</x:v>
      </x:c>
      <x:c r="W18" s="32" t="str">
        <x:v>验收通过前累计付款比例超过80%。</x:v>
      </x:c>
      <x:c r="X18" s="32" t="str">
        <x:v>已发布</x:v>
      </x:c>
      <x:c r="Y18" s="38" t="n">
        <x:v>113</x:v>
      </x:c>
    </x:row>
  </x:sheetData>
  <x:mergeCells>
    <x:mergeCell ref="A1:Y1"/>
    <x:mergeCell ref="A2:Y2"/>
  </x:mergeCells>
  <x:pageMargins left="0.7" right="0.7" top="0.75" bottom="0.75" header="0.3" footer="0.3"/>
  <x:tableParts count="1">
    <x:tablePart xmlns:r="http://schemas.openxmlformats.org/officeDocument/2006/relationships" r:id="R7d51d97226a844c9"/>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0" hidden="0" customWidth="1"/>
    <x:col min="2" max="2" width="30" hidden="0" customWidth="1"/>
    <x:col min="3" max="3" width="10" hidden="0" customWidth="1"/>
    <x:col min="4" max="4" width="16" hidden="0" customWidth="1"/>
    <x:col min="5" max="5" width="44" hidden="0" customWidth="1"/>
    <x:col min="6" max="6" width="10" hidden="0" customWidth="1"/>
    <x:col min="7" max="7" width="19" hidden="0" customWidth="1"/>
  </x:cols>
  <x:sheetData>
    <x:row r="1" ht="34" customHeight="1">
      <x:c r="A1" s="4" t="str">
        <x:v>风险场景与规则版本绑定</x:v>
      </x:c>
      <x:c r="B1" s="4"/>
      <x:c r="C1" s="4"/>
      <x:c r="D1" s="4"/>
      <x:c r="E1" s="4"/>
      <x:c r="F1" s="4"/>
      <x:c r="G1" s="4"/>
    </x:row>
    <x:row r="2" ht="32" customHeight="1">
      <x:c r="A2" s="8" t="str">
        <x:v>绑定结构匹配现有 scene_rule_bindings；风险等级默认继承规则版本，参数集保留演示批次标识。</x:v>
      </x:c>
      <x:c r="B2" s="8"/>
      <x:c r="C2" s="8"/>
      <x:c r="D2" s="8"/>
      <x:c r="E2" s="8"/>
      <x:c r="F2" s="8"/>
      <x:c r="G2" s="8"/>
    </x:row>
    <x:row r="4" ht="32" customHeight="1">
      <x:c r="A4" s="99" t="str">
        <x:v>场景版本ID</x:v>
      </x:c>
      <x:c r="B4" s="100" t="str">
        <x:v>规则版本ID</x:v>
      </x:c>
      <x:c r="C4" s="100" t="str">
        <x:v>启用</x:v>
      </x:c>
      <x:c r="D4" s="100" t="str">
        <x:v>风险等级覆盖</x:v>
      </x:c>
      <x:c r="E4" s="100" t="str">
        <x:v>参数JSON</x:v>
      </x:c>
      <x:c r="F4" s="100" t="str">
        <x:v>优先级</x:v>
      </x:c>
      <x:c r="G4" s="101" t="str">
        <x:v>绑定时间</x:v>
      </x:c>
    </x:row>
    <x:row r="5">
      <x:c r="A5" s="30" t="str">
        <x:v>SV-SCENE-PROC-001-V10</x:v>
      </x:c>
      <x:c r="B5" s="30" t="str">
        <x:v>RAV-RULE-DEMO-001-V10</x:v>
      </x:c>
      <x:c r="C5" s="36" t="n">
        <x:v>1</x:v>
      </x:c>
      <x:c r="D5" s="30" t="str"/>
      <x:c r="E5" s="30" t="str">
        <x:v>{"parameter_set":"DEMO-20260720","review_required":true}</x:v>
      </x:c>
      <x:c r="F5" s="36" t="n">
        <x:v>100</x:v>
      </x:c>
      <x:c r="G5" s="68" t="n">
        <x:v>46223.086805555555</x:v>
      </x:c>
    </x:row>
    <x:row r="6">
      <x:c r="A6" s="31" t="str">
        <x:v>SV-SCENE-PROC-001-V10</x:v>
      </x:c>
      <x:c r="B6" s="31" t="str">
        <x:v>RAV-RULE-DEMO-002-V10</x:v>
      </x:c>
      <x:c r="C6" s="37" t="n">
        <x:v>1</x:v>
      </x:c>
      <x:c r="D6" s="31" t="str"/>
      <x:c r="E6" s="31" t="str">
        <x:v>{"parameter_set":"DEMO-20260720","review_required":true}</x:v>
      </x:c>
      <x:c r="F6" s="37" t="n">
        <x:v>101</x:v>
      </x:c>
      <x:c r="G6" s="69" t="n">
        <x:v>46223.086805555555</x:v>
      </x:c>
    </x:row>
    <x:row r="7">
      <x:c r="A7" s="31" t="str">
        <x:v>SV-SCENE-PROC-002-V10</x:v>
      </x:c>
      <x:c r="B7" s="31" t="str">
        <x:v>RAV-RULE-DEMO-003-V10</x:v>
      </x:c>
      <x:c r="C7" s="37" t="n">
        <x:v>1</x:v>
      </x:c>
      <x:c r="D7" s="31" t="str"/>
      <x:c r="E7" s="31" t="str">
        <x:v>{"parameter_set":"DEMO-20260720","review_required":true}</x:v>
      </x:c>
      <x:c r="F7" s="37" t="n">
        <x:v>102</x:v>
      </x:c>
      <x:c r="G7" s="69" t="n">
        <x:v>46223.086805555555</x:v>
      </x:c>
    </x:row>
    <x:row r="8">
      <x:c r="A8" s="31" t="str">
        <x:v>SV-SCENE-PROC-003-V10</x:v>
      </x:c>
      <x:c r="B8" s="31" t="str">
        <x:v>RAV-RULE-DEMO-004-V10</x:v>
      </x:c>
      <x:c r="C8" s="37" t="n">
        <x:v>1</x:v>
      </x:c>
      <x:c r="D8" s="31" t="str"/>
      <x:c r="E8" s="31" t="str">
        <x:v>{"parameter_set":"DEMO-20260720","review_required":true}</x:v>
      </x:c>
      <x:c r="F8" s="37" t="n">
        <x:v>103</x:v>
      </x:c>
      <x:c r="G8" s="69" t="n">
        <x:v>46223.086805555555</x:v>
      </x:c>
    </x:row>
    <x:row r="9">
      <x:c r="A9" s="31" t="str">
        <x:v>SV-SCENE-PROC-003-V10</x:v>
      </x:c>
      <x:c r="B9" s="31" t="str">
        <x:v>RAV-RULE-DEMO-005-V10</x:v>
      </x:c>
      <x:c r="C9" s="37" t="n">
        <x:v>1</x:v>
      </x:c>
      <x:c r="D9" s="31" t="str"/>
      <x:c r="E9" s="31" t="str">
        <x:v>{"parameter_set":"DEMO-20260720","review_required":true}</x:v>
      </x:c>
      <x:c r="F9" s="37" t="n">
        <x:v>104</x:v>
      </x:c>
      <x:c r="G9" s="69" t="n">
        <x:v>46223.086805555555</x:v>
      </x:c>
    </x:row>
    <x:row r="10">
      <x:c r="A10" s="31" t="str">
        <x:v>SV-SCENE-PROC-004-V10</x:v>
      </x:c>
      <x:c r="B10" s="31" t="str">
        <x:v>RAV-RULE-DEMO-006-V10</x:v>
      </x:c>
      <x:c r="C10" s="37" t="n">
        <x:v>1</x:v>
      </x:c>
      <x:c r="D10" s="31" t="str"/>
      <x:c r="E10" s="31" t="str">
        <x:v>{"parameter_set":"DEMO-20260720","review_required":true}</x:v>
      </x:c>
      <x:c r="F10" s="37" t="n">
        <x:v>105</x:v>
      </x:c>
      <x:c r="G10" s="69" t="n">
        <x:v>46223.086805555555</x:v>
      </x:c>
    </x:row>
    <x:row r="11">
      <x:c r="A11" s="31" t="str">
        <x:v>SV-SCENE-PROC-004-V10</x:v>
      </x:c>
      <x:c r="B11" s="31" t="str">
        <x:v>RAV-RULE-DEMO-007-V10</x:v>
      </x:c>
      <x:c r="C11" s="37" t="n">
        <x:v>1</x:v>
      </x:c>
      <x:c r="D11" s="31" t="str"/>
      <x:c r="E11" s="31" t="str">
        <x:v>{"parameter_set":"DEMO-20260720","review_required":true}</x:v>
      </x:c>
      <x:c r="F11" s="37" t="n">
        <x:v>106</x:v>
      </x:c>
      <x:c r="G11" s="69" t="n">
        <x:v>46223.086805555555</x:v>
      </x:c>
    </x:row>
    <x:row r="12">
      <x:c r="A12" s="31" t="str">
        <x:v>SV-SCENE-PROC-005-V10</x:v>
      </x:c>
      <x:c r="B12" s="31" t="str">
        <x:v>RAV-RULE-DEMO-008-V10</x:v>
      </x:c>
      <x:c r="C12" s="37" t="n">
        <x:v>1</x:v>
      </x:c>
      <x:c r="D12" s="31" t="str"/>
      <x:c r="E12" s="31" t="str">
        <x:v>{"parameter_set":"DEMO-20260720","review_required":true}</x:v>
      </x:c>
      <x:c r="F12" s="37" t="n">
        <x:v>107</x:v>
      </x:c>
      <x:c r="G12" s="69" t="n">
        <x:v>46223.086805555555</x:v>
      </x:c>
    </x:row>
    <x:row r="13">
      <x:c r="A13" s="31" t="str">
        <x:v>SV-SCENE-PROC-005-V10</x:v>
      </x:c>
      <x:c r="B13" s="31" t="str">
        <x:v>RAV-RULE-DEMO-009-V10</x:v>
      </x:c>
      <x:c r="C13" s="37" t="n">
        <x:v>1</x:v>
      </x:c>
      <x:c r="D13" s="31" t="str"/>
      <x:c r="E13" s="31" t="str">
        <x:v>{"parameter_set":"DEMO-20260720","review_required":true}</x:v>
      </x:c>
      <x:c r="F13" s="37" t="n">
        <x:v>108</x:v>
      </x:c>
      <x:c r="G13" s="69" t="n">
        <x:v>46223.086805555555</x:v>
      </x:c>
    </x:row>
    <x:row r="14">
      <x:c r="A14" s="31" t="str">
        <x:v>SV-SCENE-PROC-005-V10</x:v>
      </x:c>
      <x:c r="B14" s="31" t="str">
        <x:v>RAV-RULE-DEMO-010-V10</x:v>
      </x:c>
      <x:c r="C14" s="37" t="n">
        <x:v>1</x:v>
      </x:c>
      <x:c r="D14" s="31" t="str"/>
      <x:c r="E14" s="31" t="str">
        <x:v>{"parameter_set":"DEMO-20260720","review_required":true}</x:v>
      </x:c>
      <x:c r="F14" s="37" t="n">
        <x:v>109</x:v>
      </x:c>
      <x:c r="G14" s="69" t="n">
        <x:v>46223.086805555555</x:v>
      </x:c>
    </x:row>
    <x:row r="15">
      <x:c r="A15" s="31" t="str">
        <x:v>SV-SCENE-SC-006-V10</x:v>
      </x:c>
      <x:c r="B15" s="31" t="str">
        <x:v>RAV-RULE-DEMO-011-V10</x:v>
      </x:c>
      <x:c r="C15" s="37" t="n">
        <x:v>1</x:v>
      </x:c>
      <x:c r="D15" s="31" t="str"/>
      <x:c r="E15" s="31" t="str">
        <x:v>{"parameter_set":"DEMO-20260720","review_required":true}</x:v>
      </x:c>
      <x:c r="F15" s="37" t="n">
        <x:v>110</x:v>
      </x:c>
      <x:c r="G15" s="69" t="n">
        <x:v>46223.086805555555</x:v>
      </x:c>
    </x:row>
    <x:row r="16">
      <x:c r="A16" s="31" t="str">
        <x:v>SV-SCENE-SC-006-V10</x:v>
      </x:c>
      <x:c r="B16" s="31" t="str">
        <x:v>RAV-RULE-DEMO-012-V10</x:v>
      </x:c>
      <x:c r="C16" s="37" t="n">
        <x:v>1</x:v>
      </x:c>
      <x:c r="D16" s="31" t="str"/>
      <x:c r="E16" s="31" t="str">
        <x:v>{"parameter_set":"DEMO-20260720","review_required":true}</x:v>
      </x:c>
      <x:c r="F16" s="37" t="n">
        <x:v>111</x:v>
      </x:c>
      <x:c r="G16" s="69" t="n">
        <x:v>46223.086805555555</x:v>
      </x:c>
    </x:row>
    <x:row r="17">
      <x:c r="A17" s="31" t="str">
        <x:v>SV-SCENE-CON-007-V10</x:v>
      </x:c>
      <x:c r="B17" s="31" t="str">
        <x:v>RAV-RULE-DEMO-013-V10</x:v>
      </x:c>
      <x:c r="C17" s="37" t="n">
        <x:v>1</x:v>
      </x:c>
      <x:c r="D17" s="31" t="str"/>
      <x:c r="E17" s="31" t="str">
        <x:v>{"parameter_set":"DEMO-20260720","review_required":true}</x:v>
      </x:c>
      <x:c r="F17" s="37" t="n">
        <x:v>112</x:v>
      </x:c>
      <x:c r="G17" s="69" t="n">
        <x:v>46223.086805555555</x:v>
      </x:c>
    </x:row>
    <x:row r="18">
      <x:c r="A18" s="32" t="str">
        <x:v>SV-SCENE-CON-007-V10</x:v>
      </x:c>
      <x:c r="B18" s="32" t="str">
        <x:v>RAV-RULE-DEMO-014-V10</x:v>
      </x:c>
      <x:c r="C18" s="38" t="n">
        <x:v>1</x:v>
      </x:c>
      <x:c r="D18" s="32" t="str"/>
      <x:c r="E18" s="32" t="str">
        <x:v>{"parameter_set":"DEMO-20260720","review_required":true}</x:v>
      </x:c>
      <x:c r="F18" s="38" t="n">
        <x:v>113</x:v>
      </x:c>
      <x:c r="G18" s="70" t="n">
        <x:v>46223.086805555555</x:v>
      </x:c>
    </x:row>
  </x:sheetData>
  <x:mergeCells>
    <x:mergeCell ref="A1:G1"/>
    <x:mergeCell ref="A2:G2"/>
  </x:mergeCells>
  <x:pageMargins left="0.7" right="0.7" top="0.75" bottom="0.75" header="0.3" footer="0.3"/>
  <x:tableParts count="1">
    <x:tablePart xmlns:r="http://schemas.openxmlformats.org/officeDocument/2006/relationships" r:id="Rd5777e7a89984ea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8" hidden="0" customWidth="1"/>
    <x:col min="4" max="4" width="18" hidden="0" customWidth="1"/>
    <x:col min="5" max="5" width="16" hidden="0" customWidth="1"/>
    <x:col min="6" max="6" width="28" hidden="0" customWidth="1"/>
    <x:col min="7" max="7" width="19" hidden="0" customWidth="1"/>
    <x:col min="8" max="8" width="10" hidden="0" customWidth="1"/>
    <x:col min="9" max="9" width="12" hidden="0" customWidth="1"/>
    <x:col min="10" max="10" width="58" hidden="0" customWidth="1"/>
    <x:col min="11" max="11" width="14" hidden="0" customWidth="1"/>
    <x:col min="12" max="12" width="16" hidden="0" customWidth="1"/>
    <x:col min="13" max="13" width="20" hidden="0" customWidth="1"/>
  </x:cols>
  <x:sheetData>
    <x:row r="1" ht="34" customHeight="1">
      <x:c r="A1" s="4" t="str">
        <x:v>规则运行记录与命中明细</x:v>
      </x:c>
      <x:c r="B1" s="4"/>
      <x:c r="C1" s="4"/>
      <x:c r="D1" s="4"/>
      <x:c r="E1" s="4"/>
      <x:c r="F1" s="4"/>
      <x:c r="G1" s="4"/>
      <x:c r="H1" s="4"/>
      <x:c r="I1" s="4"/>
      <x:c r="J1" s="4"/>
      <x:c r="K1" s="4"/>
      <x:c r="L1" s="4"/>
      <x:c r="M1" s="4"/>
    </x:row>
    <x:row r="2" ht="32" customHeight="1">
      <x:c r="A2" s="8" t="str">
        <x:v>18条运行记录包含14条命中和4条合规未命中；可映射现有 rule_run_records，演示实际值和证据状态。</x:v>
      </x:c>
      <x:c r="B2" s="8"/>
      <x:c r="C2" s="8"/>
      <x:c r="D2" s="8"/>
      <x:c r="E2" s="8"/>
      <x:c r="F2" s="8"/>
      <x:c r="G2" s="8"/>
      <x:c r="H2" s="8"/>
      <x:c r="I2" s="8"/>
      <x:c r="J2" s="8"/>
      <x:c r="K2" s="8"/>
      <x:c r="L2" s="8"/>
      <x:c r="M2" s="8"/>
    </x:row>
    <x:row r="4" ht="32" customHeight="1">
      <x:c r="A4" s="113" t="str">
        <x:v>运行记录ID</x:v>
      </x:c>
      <x:c r="B4" s="114" t="str">
        <x:v>案例ID</x:v>
      </x:c>
      <x:c r="C4" s="114" t="str">
        <x:v>场景编码</x:v>
      </x:c>
      <x:c r="D4" s="114" t="str">
        <x:v>规则编码</x:v>
      </x:c>
      <x:c r="E4" s="114" t="str">
        <x:v>对象ID</x:v>
      </x:c>
      <x:c r="F4" s="114" t="str">
        <x:v>对象名称</x:v>
      </x:c>
      <x:c r="G4" s="114" t="str">
        <x:v>执行时间</x:v>
      </x:c>
      <x:c r="H4" s="114" t="str">
        <x:v>结果</x:v>
      </x:c>
      <x:c r="I4" s="114" t="str">
        <x:v>风险等级</x:v>
      </x:c>
      <x:c r="J4" s="114" t="str">
        <x:v>实际值摘要</x:v>
      </x:c>
      <x:c r="K4" s="114" t="str">
        <x:v>证据状态</x:v>
      </x:c>
      <x:c r="L4" s="114" t="str">
        <x:v>预警编码</x:v>
      </x:c>
      <x:c r="M4" s="115" t="str">
        <x:v>取数批次</x:v>
      </x:c>
    </x:row>
    <x:row r="5">
      <x:c r="A5" s="30" t="str">
        <x:v>RUN-001</x:v>
      </x:c>
      <x:c r="B5" s="30" t="str">
        <x:v>CASE-001</x:v>
      </x:c>
      <x:c r="C5" s="30" t="str">
        <x:v>SCENE-PROC-001</x:v>
      </x:c>
      <x:c r="D5" s="30" t="str">
        <x:v>RULE-DEMO-001</x:v>
      </x:c>
      <x:c r="E5" s="30" t="str">
        <x:v>PRJ-001</x:v>
      </x:c>
      <x:c r="F5" s="30" t="str">
        <x:v>智能算力节点扩容采购项目</x:v>
      </x:c>
      <x:c r="G5" s="68" t="n">
        <x:v>46208.04513888889</x:v>
      </x:c>
      <x:c r="H5" s="30" t="str">
        <x:v>命中</x:v>
      </x:c>
      <x:c r="I5" s="30" t="str">
        <x:v>重大</x:v>
      </x:c>
      <x:c r="J5" s="30" t="str">
        <x:v>项目金额528万元≥400万元，采购方式=竞争性谈判</x:v>
      </x:c>
      <x:c r="K5" s="30" t="str">
        <x:v>完整</x:v>
      </x:c>
      <x:c r="L5" s="30" t="str">
        <x:v>WA-DEMO-001</x:v>
      </x:c>
      <x:c r="M5" s="30" t="str">
        <x:v>BATCH-DEMO-0720</x:v>
      </x:c>
    </x:row>
    <x:row r="6">
      <x:c r="A6" s="31" t="str">
        <x:v>RUN-002</x:v>
      </x:c>
      <x:c r="B6" s="31" t="str">
        <x:v>CASE-001</x:v>
      </x:c>
      <x:c r="C6" s="31" t="str">
        <x:v>SCENE-PROC-001</x:v>
      </x:c>
      <x:c r="D6" s="31" t="str">
        <x:v>RULE-DEMO-002</x:v>
      </x:c>
      <x:c r="E6" s="31" t="str">
        <x:v>PLAN-001</x:v>
      </x:c>
      <x:c r="F6" s="31" t="str">
        <x:v>智能算力采购方案</x:v>
      </x:c>
      <x:c r="G6" s="69" t="n">
        <x:v>46208.04515046296</x:v>
      </x:c>
      <x:c r="H6" s="31" t="str">
        <x:v>命中</x:v>
      </x:c>
      <x:c r="I6" s="31" t="str">
        <x:v>高</x:v>
      </x:c>
      <x:c r="J6" s="31" t="str">
        <x:v>例外审批单号为空</x:v>
      </x:c>
      <x:c r="K6" s="31" t="str">
        <x:v>完整</x:v>
      </x:c>
      <x:c r="L6" s="31" t="str">
        <x:v>WA-DEMO-001</x:v>
      </x:c>
      <x:c r="M6" s="31" t="str">
        <x:v>BATCH-DEMO-0720</x:v>
      </x:c>
    </x:row>
    <x:row r="7">
      <x:c r="A7" s="31" t="str">
        <x:v>RUN-003</x:v>
      </x:c>
      <x:c r="B7" s="31" t="str">
        <x:v>CASE-002</x:v>
      </x:c>
      <x:c r="C7" s="31" t="str">
        <x:v>SCENE-PROC-002</x:v>
      </x:c>
      <x:c r="D7" s="31" t="str">
        <x:v>RULE-DEMO-003</x:v>
      </x:c>
      <x:c r="E7" s="31" t="str">
        <x:v>DMD-002</x:v>
      </x:c>
      <x:c r="F7" s="31" t="str">
        <x:v>办公终端集中采购需求</x:v>
      </x:c>
      <x:c r="G7" s="69" t="n">
        <x:v>46202.09027777778</x:v>
      </x:c>
      <x:c r="H7" s="31" t="str">
        <x:v>命中</x:v>
      </x:c>
      <x:c r="I7" s="31" t="str">
        <x:v>高</x:v>
      </x:c>
      <x:c r="J7" s="31" t="str">
        <x:v>30天内3笔订单累计216万元≥200万元</x:v>
      </x:c>
      <x:c r="K7" s="31" t="str">
        <x:v>完整</x:v>
      </x:c>
      <x:c r="L7" s="31" t="str">
        <x:v>WA-DEMO-002</x:v>
      </x:c>
      <x:c r="M7" s="31" t="str">
        <x:v>BATCH-DEMO-0720</x:v>
      </x:c>
    </x:row>
    <x:row r="8">
      <x:c r="A8" s="31" t="str">
        <x:v>RUN-004</x:v>
      </x:c>
      <x:c r="B8" s="31" t="str">
        <x:v>CASE-003</x:v>
      </x:c>
      <x:c r="C8" s="31" t="str">
        <x:v>SCENE-PROC-003</x:v>
      </x:c>
      <x:c r="D8" s="31" t="str">
        <x:v>RULE-DEMO-004</x:v>
      </x:c>
      <x:c r="E8" s="31" t="str">
        <x:v>PRJ-003</x:v>
      </x:c>
      <x:c r="F8" s="31" t="str">
        <x:v>数据中台二期建设项目</x:v>
      </x:c>
      <x:c r="G8" s="69" t="n">
        <x:v>46195.04861111111</x:v>
      </x:c>
      <x:c r="H8" s="31" t="str">
        <x:v>命中</x:v>
      </x:c>
      <x:c r="I8" s="31" t="str">
        <x:v>重大</x:v>
      </x:c>
      <x:c r="J8" s="31" t="str">
        <x:v>3家投标文件共用IP-003-SHARED与DEV-003-SHARED，提交间隔6分钟</x:v>
      </x:c>
      <x:c r="K8" s="31" t="str">
        <x:v>完整</x:v>
      </x:c>
      <x:c r="L8" s="31" t="str">
        <x:v>WA-DEMO-003</x:v>
      </x:c>
      <x:c r="M8" s="31" t="str">
        <x:v>BATCH-DEMO-0720</x:v>
      </x:c>
    </x:row>
    <x:row r="9">
      <x:c r="A9" s="31" t="str">
        <x:v>RUN-005</x:v>
      </x:c>
      <x:c r="B9" s="31" t="str">
        <x:v>CASE-003</x:v>
      </x:c>
      <x:c r="C9" s="31" t="str">
        <x:v>SCENE-PROC-003</x:v>
      </x:c>
      <x:c r="D9" s="31" t="str">
        <x:v>RULE-DEMO-005</x:v>
      </x:c>
      <x:c r="E9" s="31" t="str">
        <x:v>PRJ-003</x:v>
      </x:c>
      <x:c r="F9" s="31" t="str">
        <x:v>数据中台二期建设项目</x:v>
      </x:c>
      <x:c r="G9" s="69" t="n">
        <x:v>46195.048622685186</x:v>
      </x:c>
      <x:c r="H9" s="31" t="str">
        <x:v>命中</x:v>
      </x:c>
      <x:c r="I9" s="31" t="str">
        <x:v>重大</x:v>
      </x:c>
      <x:c r="J9" s="31" t="str">
        <x:v>文件相似度94%-96%，两家投标人员工数≤2</x:v>
      </x:c>
      <x:c r="K9" s="31" t="str">
        <x:v>完整</x:v>
      </x:c>
      <x:c r="L9" s="31" t="str">
        <x:v>WA-DEMO-003</x:v>
      </x:c>
      <x:c r="M9" s="31" t="str">
        <x:v>BATCH-DEMO-0720</x:v>
      </x:c>
    </x:row>
    <x:row r="10">
      <x:c r="A10" s="31" t="str">
        <x:v>RUN-006</x:v>
      </x:c>
      <x:c r="B10" s="31" t="str">
        <x:v>CASE-004</x:v>
      </x:c>
      <x:c r="C10" s="31" t="str">
        <x:v>SCENE-PROC-004</x:v>
      </x:c>
      <x:c r="D10" s="31" t="str">
        <x:v>RULE-DEMO-006</x:v>
      </x:c>
      <x:c r="E10" s="31" t="str">
        <x:v>PRJ-004</x:v>
      </x:c>
      <x:c r="F10" s="31" t="str">
        <x:v>核心网络安全设备采购项目</x:v>
      </x:c>
      <x:c r="G10" s="69" t="n">
        <x:v>46172.04513888889</x:v>
      </x:c>
      <x:c r="H10" s="31" t="str">
        <x:v>命中</x:v>
      </x:c>
      <x:c r="I10" s="31" t="str">
        <x:v>重大</x:v>
      </x:c>
      <x:c r="J10" s="31" t="str">
        <x:v>李强实际控制3家投标主体</x:v>
      </x:c>
      <x:c r="K10" s="31" t="str">
        <x:v>完整</x:v>
      </x:c>
      <x:c r="L10" s="31" t="str">
        <x:v>WA-DEMO-004</x:v>
      </x:c>
      <x:c r="M10" s="31" t="str">
        <x:v>BATCH-DEMO-0720</x:v>
      </x:c>
    </x:row>
    <x:row r="11">
      <x:c r="A11" s="31" t="str">
        <x:v>RUN-007</x:v>
      </x:c>
      <x:c r="B11" s="31" t="str">
        <x:v>CASE-004</x:v>
      </x:c>
      <x:c r="C11" s="31" t="str">
        <x:v>SCENE-PROC-004</x:v>
      </x:c>
      <x:c r="D11" s="31" t="str">
        <x:v>RULE-DEMO-007</x:v>
      </x:c>
      <x:c r="E11" s="31" t="str">
        <x:v>PRJ-004</x:v>
      </x:c>
      <x:c r="F11" s="31" t="str">
        <x:v>核心网络安全设备采购项目</x:v>
      </x:c>
      <x:c r="G11" s="69" t="n">
        <x:v>46172.04515046296</x:v>
      </x:c>
      <x:c r="H11" s="31" t="str">
        <x:v>命中</x:v>
      </x:c>
      <x:c r="I11" s="31" t="str">
        <x:v>重大</x:v>
      </x:c>
      <x:c r="J11" s="31" t="str">
        <x:v>保证金账户相同；报价1218/1221/1224万元呈等差，偏差0.49%</x:v>
      </x:c>
      <x:c r="K11" s="31" t="str">
        <x:v>完整</x:v>
      </x:c>
      <x:c r="L11" s="31" t="str">
        <x:v>WA-DEMO-004</x:v>
      </x:c>
      <x:c r="M11" s="31" t="str">
        <x:v>BATCH-DEMO-0720</x:v>
      </x:c>
    </x:row>
    <x:row r="12">
      <x:c r="A12" s="31" t="str">
        <x:v>RUN-008</x:v>
      </x:c>
      <x:c r="B12" s="31" t="str">
        <x:v>CASE-005</x:v>
      </x:c>
      <x:c r="C12" s="31" t="str">
        <x:v>SCENE-PROC-005</x:v>
      </x:c>
      <x:c r="D12" s="31" t="str">
        <x:v>RULE-DEMO-008</x:v>
      </x:c>
      <x:c r="E12" s="31" t="str">
        <x:v>PRJ-005</x:v>
      </x:c>
      <x:c r="F12" s="31" t="str">
        <x:v>云资源运维服务采购项目</x:v>
      </x:c>
      <x:c r="G12" s="69" t="n">
        <x:v>46181.336805555555</x:v>
      </x:c>
      <x:c r="H12" s="31" t="str">
        <x:v>命中</x:v>
      </x:c>
      <x:c r="I12" s="31" t="str">
        <x:v>高</x:v>
      </x:c>
      <x:c r="J12" s="31" t="str">
        <x:v>公告发布于6月2日，预算6月8日才批复</x:v>
      </x:c>
      <x:c r="K12" s="31" t="str">
        <x:v>完整</x:v>
      </x:c>
      <x:c r="L12" s="31" t="str">
        <x:v>WA-DEMO-005</x:v>
      </x:c>
      <x:c r="M12" s="31" t="str">
        <x:v>BATCH-DEMO-0720</x:v>
      </x:c>
    </x:row>
    <x:row r="13">
      <x:c r="A13" s="31" t="str">
        <x:v>RUN-009</x:v>
      </x:c>
      <x:c r="B13" s="31" t="str">
        <x:v>CASE-005</x:v>
      </x:c>
      <x:c r="C13" s="31" t="str">
        <x:v>SCENE-PROC-005</x:v>
      </x:c>
      <x:c r="D13" s="31" t="str">
        <x:v>RULE-DEMO-009</x:v>
      </x:c>
      <x:c r="E13" s="31" t="str">
        <x:v>ANN-005</x:v>
      </x:c>
      <x:c r="F13" s="31" t="str">
        <x:v>云资源运维服务招标公告</x:v>
      </x:c>
      <x:c r="G13" s="69" t="n">
        <x:v>46182.04236111111</x:v>
      </x:c>
      <x:c r="H13" s="31" t="str">
        <x:v>命中</x:v>
      </x:c>
      <x:c r="I13" s="31" t="str">
        <x:v>高</x:v>
      </x:c>
      <x:c r="J13" s="31" t="str">
        <x:v>公告至投标截止仅7天＜20天</x:v>
      </x:c>
      <x:c r="K13" s="31" t="str">
        <x:v>完整</x:v>
      </x:c>
      <x:c r="L13" s="31" t="str">
        <x:v>WA-DEMO-005</x:v>
      </x:c>
      <x:c r="M13" s="31" t="str">
        <x:v>BATCH-DEMO-0720</x:v>
      </x:c>
    </x:row>
    <x:row r="14">
      <x:c r="A14" s="31" t="str">
        <x:v>RUN-010</x:v>
      </x:c>
      <x:c r="B14" s="31" t="str">
        <x:v>CASE-005</x:v>
      </x:c>
      <x:c r="C14" s="31" t="str">
        <x:v>SCENE-PROC-005</x:v>
      </x:c>
      <x:c r="D14" s="31" t="str">
        <x:v>RULE-DEMO-010</x:v>
      </x:c>
      <x:c r="E14" s="31" t="str">
        <x:v>PANEL-005</x:v>
      </x:c>
      <x:c r="F14" s="31" t="str">
        <x:v>云资源运维评审委员会</x:v>
      </x:c>
      <x:c r="G14" s="69" t="n">
        <x:v>46182.04305555556</x:v>
      </x:c>
      <x:c r="H14" s="31" t="str">
        <x:v>命中</x:v>
      </x:c>
      <x:c r="I14" s="31" t="str">
        <x:v>高</x:v>
      </x:c>
      <x:c r="J14" s="31" t="str">
        <x:v>专家产生方式=指定，抽取记录为空</x:v>
      </x:c>
      <x:c r="K14" s="31" t="str">
        <x:v>部分缺失</x:v>
      </x:c>
      <x:c r="L14" s="31" t="str">
        <x:v>WA-DEMO-005</x:v>
      </x:c>
      <x:c r="M14" s="31" t="str">
        <x:v>BATCH-DEMO-0720</x:v>
      </x:c>
    </x:row>
    <x:row r="15">
      <x:c r="A15" s="31" t="str">
        <x:v>RUN-011</x:v>
      </x:c>
      <x:c r="B15" s="31" t="str">
        <x:v>CASE-006</x:v>
      </x:c>
      <x:c r="C15" s="31" t="str">
        <x:v>SCENE-SC-006</x:v>
      </x:c>
      <x:c r="D15" s="31" t="str">
        <x:v>RULE-DEMO-011</x:v>
      </x:c>
      <x:c r="E15" s="31" t="str">
        <x:v>CON-006</x:v>
      </x:c>
      <x:c r="F15" s="31" t="str">
        <x:v>存储设备扩容采购合同</x:v>
      </x:c>
      <x:c r="G15" s="69" t="n">
        <x:v>46203.083333333336</x:v>
      </x:c>
      <x:c r="H15" s="31" t="str">
        <x:v>命中</x:v>
      </x:c>
      <x:c r="I15" s="31" t="str">
        <x:v>重大</x:v>
      </x:c>
      <x:c r="J15" s="31" t="str">
        <x:v>付款完成但GPS轨迹2.4公里、收货异常、未验收</x:v>
      </x:c>
      <x:c r="K15" s="31" t="str">
        <x:v>完整</x:v>
      </x:c>
      <x:c r="L15" s="31" t="str">
        <x:v>WA-DEMO-006</x:v>
      </x:c>
      <x:c r="M15" s="31" t="str">
        <x:v>BATCH-DEMO-0720</x:v>
      </x:c>
    </x:row>
    <x:row r="16">
      <x:c r="A16" s="31" t="str">
        <x:v>RUN-012</x:v>
      </x:c>
      <x:c r="B16" s="31" t="str">
        <x:v>CASE-006</x:v>
      </x:c>
      <x:c r="C16" s="31" t="str">
        <x:v>SCENE-SC-006</x:v>
      </x:c>
      <x:c r="D16" s="31" t="str">
        <x:v>RULE-DEMO-012</x:v>
      </x:c>
      <x:c r="E16" s="31" t="str">
        <x:v>CON-006</x:v>
      </x:c>
      <x:c r="F16" s="31" t="str">
        <x:v>存储设备扩容采购合同</x:v>
      </x:c>
      <x:c r="G16" s="69" t="n">
        <x:v>46203.083344907405</x:v>
      </x:c>
      <x:c r="H16" s="31" t="str">
        <x:v>命中</x:v>
      </x:c>
      <x:c r="I16" s="31" t="str">
        <x:v>重大</x:v>
      </x:c>
      <x:c r="J16" s="31" t="str">
        <x:v>486万元付款次日462万元流入采购方关联企业，比例95.1%</x:v>
      </x:c>
      <x:c r="K16" s="31" t="str">
        <x:v>完整</x:v>
      </x:c>
      <x:c r="L16" s="31" t="str">
        <x:v>WA-DEMO-006</x:v>
      </x:c>
      <x:c r="M16" s="31" t="str">
        <x:v>BATCH-DEMO-0720</x:v>
      </x:c>
    </x:row>
    <x:row r="17">
      <x:c r="A17" s="31" t="str">
        <x:v>RUN-013</x:v>
      </x:c>
      <x:c r="B17" s="31" t="str">
        <x:v>CASE-007</x:v>
      </x:c>
      <x:c r="C17" s="31" t="str">
        <x:v>SCENE-CON-007</x:v>
      </x:c>
      <x:c r="D17" s="31" t="str">
        <x:v>RULE-DEMO-013</x:v>
      </x:c>
      <x:c r="E17" s="31" t="str">
        <x:v>CON-007</x:v>
      </x:c>
      <x:c r="F17" s="31" t="str">
        <x:v>安全运营服务采购合同</x:v>
      </x:c>
      <x:c r="G17" s="69" t="n">
        <x:v>46155.086805555555</x:v>
      </x:c>
      <x:c r="H17" s="31" t="str">
        <x:v>命中</x:v>
      </x:c>
      <x:c r="I17" s="31" t="str">
        <x:v>高</x:v>
      </x:c>
      <x:c r="J17" s="31" t="str">
        <x:v>签约后18天增加255万元，累计增幅37.8%</x:v>
      </x:c>
      <x:c r="K17" s="31" t="str">
        <x:v>完整</x:v>
      </x:c>
      <x:c r="L17" s="31" t="str">
        <x:v>WA-DEMO-007</x:v>
      </x:c>
      <x:c r="M17" s="31" t="str">
        <x:v>BATCH-DEMO-0720</x:v>
      </x:c>
    </x:row>
    <x:row r="18">
      <x:c r="A18" s="31" t="str">
        <x:v>RUN-014</x:v>
      </x:c>
      <x:c r="B18" s="31" t="str">
        <x:v>CASE-007</x:v>
      </x:c>
      <x:c r="C18" s="31" t="str">
        <x:v>SCENE-CON-007</x:v>
      </x:c>
      <x:c r="D18" s="31" t="str">
        <x:v>RULE-DEMO-014</x:v>
      </x:c>
      <x:c r="E18" s="31" t="str">
        <x:v>CON-007</x:v>
      </x:c>
      <x:c r="F18" s="31" t="str">
        <x:v>安全运营服务采购合同</x:v>
      </x:c>
      <x:c r="G18" s="69" t="n">
        <x:v>46163.12847222222</x:v>
      </x:c>
      <x:c r="H18" s="31" t="str">
        <x:v>命中</x:v>
      </x:c>
      <x:c r="I18" s="31" t="str">
        <x:v>高</x:v>
      </x:c>
      <x:c r="J18" s="31" t="str">
        <x:v>未验收时累计付款837万元，占变更后合同90%</x:v>
      </x:c>
      <x:c r="K18" s="31" t="str">
        <x:v>完整</x:v>
      </x:c>
      <x:c r="L18" s="31" t="str">
        <x:v>WA-DEMO-007</x:v>
      </x:c>
      <x:c r="M18" s="31" t="str">
        <x:v>BATCH-DEMO-0720</x:v>
      </x:c>
    </x:row>
    <x:row r="19">
      <x:c r="A19" s="31" t="str">
        <x:v>RUN-015</x:v>
      </x:c>
      <x:c r="B19" s="31" t="str">
        <x:v>CASE-008</x:v>
      </x:c>
      <x:c r="C19" s="31" t="str">
        <x:v>SCENE-PROC-001</x:v>
      </x:c>
      <x:c r="D19" s="31" t="str">
        <x:v>RULE-DEMO-001</x:v>
      </x:c>
      <x:c r="E19" s="31" t="str">
        <x:v>PRJ-008</x:v>
      </x:c>
      <x:c r="F19" s="31" t="str">
        <x:v>通用服务器框架采购项目</x:v>
      </x:c>
      <x:c r="G19" s="69" t="n">
        <x:v>46113.04513888889</x:v>
      </x:c>
      <x:c r="H19" s="31" t="str">
        <x:v>未命中</x:v>
      </x:c>
      <x:c r="I19" s="31" t="str">
        <x:v>重大</x:v>
      </x:c>
      <x:c r="J19" s="31" t="str">
        <x:v>金额达到阈值但采购方式=公开招标</x:v>
      </x:c>
      <x:c r="K19" s="31" t="str">
        <x:v>完整</x:v>
      </x:c>
      <x:c r="L19" s="31" t="str"/>
      <x:c r="M19" s="31" t="str">
        <x:v>BATCH-DEMO-0720</x:v>
      </x:c>
    </x:row>
    <x:row r="20">
      <x:c r="A20" s="31" t="str">
        <x:v>RUN-016</x:v>
      </x:c>
      <x:c r="B20" s="31" t="str">
        <x:v>CASE-008</x:v>
      </x:c>
      <x:c r="C20" s="31" t="str">
        <x:v>SCENE-PROC-005</x:v>
      </x:c>
      <x:c r="D20" s="31" t="str">
        <x:v>RULE-DEMO-009</x:v>
      </x:c>
      <x:c r="E20" s="31" t="str">
        <x:v>ANN-008</x:v>
      </x:c>
      <x:c r="F20" s="31" t="str">
        <x:v>通用服务器框架招标公告</x:v>
      </x:c>
      <x:c r="G20" s="69" t="n">
        <x:v>46135.37847222222</x:v>
      </x:c>
      <x:c r="H20" s="31" t="str">
        <x:v>未命中</x:v>
      </x:c>
      <x:c r="I20" s="31" t="str">
        <x:v>高</x:v>
      </x:c>
      <x:c r="J20" s="31" t="str">
        <x:v>公告至截止22天≥20天</x:v>
      </x:c>
      <x:c r="K20" s="31" t="str">
        <x:v>完整</x:v>
      </x:c>
      <x:c r="L20" s="31" t="str"/>
      <x:c r="M20" s="31" t="str">
        <x:v>BATCH-DEMO-0720</x:v>
      </x:c>
    </x:row>
    <x:row r="21">
      <x:c r="A21" s="31" t="str">
        <x:v>RUN-017</x:v>
      </x:c>
      <x:c r="B21" s="31" t="str">
        <x:v>CASE-008</x:v>
      </x:c>
      <x:c r="C21" s="31" t="str">
        <x:v>SCENE-SC-006</x:v>
      </x:c>
      <x:c r="D21" s="31" t="str">
        <x:v>RULE-DEMO-011</x:v>
      </x:c>
      <x:c r="E21" s="31" t="str">
        <x:v>CON-008</x:v>
      </x:c>
      <x:c r="F21" s="31" t="str">
        <x:v>通用服务器框架采购合同</x:v>
      </x:c>
      <x:c r="G21" s="69" t="n">
        <x:v>46178.12847222222</x:v>
      </x:c>
      <x:c r="H21" s="31" t="str">
        <x:v>未命中</x:v>
      </x:c>
      <x:c r="I21" s="31" t="str">
        <x:v>重大</x:v>
      </x:c>
      <x:c r="J21" s="31" t="str">
        <x:v>物流、收货、验收、付款链路完整</x:v>
      </x:c>
      <x:c r="K21" s="31" t="str">
        <x:v>完整</x:v>
      </x:c>
      <x:c r="L21" s="31" t="str"/>
      <x:c r="M21" s="31" t="str">
        <x:v>BATCH-DEMO-0720</x:v>
      </x:c>
    </x:row>
    <x:row r="22">
      <x:c r="A22" s="32" t="str">
        <x:v>RUN-018</x:v>
      </x:c>
      <x:c r="B22" s="32" t="str">
        <x:v>CASE-008</x:v>
      </x:c>
      <x:c r="C22" s="32" t="str">
        <x:v>SCENE-CON-007</x:v>
      </x:c>
      <x:c r="D22" s="32" t="str">
        <x:v>RULE-DEMO-014</x:v>
      </x:c>
      <x:c r="E22" s="32" t="str">
        <x:v>CON-008</x:v>
      </x:c>
      <x:c r="F22" s="32" t="str">
        <x:v>通用服务器框架采购合同</x:v>
      </x:c>
      <x:c r="G22" s="70" t="n">
        <x:v>46178.128483796296</x:v>
      </x:c>
      <x:c r="H22" s="32" t="str">
        <x:v>未命中</x:v>
      </x:c>
      <x:c r="I22" s="32" t="str">
        <x:v>高</x:v>
      </x:c>
      <x:c r="J22" s="32" t="str">
        <x:v>验收通过后付款</x:v>
      </x:c>
      <x:c r="K22" s="32" t="str">
        <x:v>完整</x:v>
      </x:c>
      <x:c r="L22" s="32" t="str"/>
      <x:c r="M22" s="32" t="str">
        <x:v>BATCH-DEMO-0720</x:v>
      </x:c>
    </x:row>
  </x:sheetData>
  <x:mergeCells>
    <x:mergeCell ref="A1:M1"/>
    <x:mergeCell ref="A2:M2"/>
  </x:mergeCells>
  <x:conditionalFormatting sqref="H5:H22">
    <x:cfRule type="containsText" dxfId="7" priority="1" operator="containsText" text="命中"/>
    <x:cfRule type="containsText" dxfId="8" priority="2" operator="containsText" text="未命中"/>
  </x:conditionalFormatting>
  <x:pageMargins left="0.7" right="0.7" top="0.75" bottom="0.75" header="0.3" footer="0.3"/>
  <x:tableParts count="1">
    <x:tablePart xmlns:r="http://schemas.openxmlformats.org/officeDocument/2006/relationships" r:id="R79bc522562f8463a"/>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8" hidden="0" customWidth="1"/>
    <x:col min="4" max="4" width="38" hidden="0" customWidth="1"/>
    <x:col min="5" max="5" width="15" hidden="0" customWidth="1"/>
    <x:col min="6" max="6" width="28" hidden="0" customWidth="1"/>
    <x:col min="7" max="7" width="10" hidden="0" customWidth="1"/>
    <x:col min="8" max="8" width="12" hidden="0" customWidth="1"/>
    <x:col min="9" max="9" width="14" hidden="0" customWidth="1"/>
    <x:col min="10" max="10" width="12" hidden="0" customWidth="1"/>
    <x:col min="11" max="11" width="12" hidden="0" customWidth="1"/>
    <x:col min="12" max="12" width="12" hidden="0" customWidth="1"/>
    <x:col min="13" max="13" width="14" hidden="0" customWidth="1"/>
    <x:col min="14" max="14" width="12" hidden="0" customWidth="1"/>
    <x:col min="15" max="15" width="22" hidden="0" customWidth="1"/>
    <x:col min="16" max="16" width="19" hidden="0" customWidth="1"/>
    <x:col min="17" max="17" width="19" hidden="0" customWidth="1"/>
    <x:col min="18" max="18" width="28" hidden="0" customWidth="1"/>
    <x:col min="19" max="19" width="30" hidden="0" customWidth="1"/>
    <x:col min="20" max="20" width="18" hidden="0" customWidth="1"/>
  </x:cols>
  <x:sheetData>
    <x:row r="1" ht="34" customHeight="1">
      <x:c r="A1" s="197" t="str">
        <x:v>风险预警结果</x:v>
      </x:c>
      <x:c r="B1" s="197"/>
      <x:c r="C1" s="197"/>
      <x:c r="D1" s="197"/>
      <x:c r="E1" s="197"/>
      <x:c r="F1" s="197"/>
      <x:c r="G1" s="197"/>
      <x:c r="H1" s="197"/>
      <x:c r="I1" s="197"/>
      <x:c r="J1" s="197"/>
      <x:c r="K1" s="197"/>
      <x:c r="L1" s="197"/>
      <x:c r="M1" s="197"/>
      <x:c r="N1" s="197"/>
      <x:c r="O1" s="197"/>
      <x:c r="P1" s="197"/>
      <x:c r="Q1" s="197"/>
      <x:c r="R1" s="197"/>
      <x:c r="S1" s="197"/>
      <x:c r="T1" s="197"/>
    </x:row>
    <x:row r="2" ht="32" customHeight="1">
      <x:c r="A2" s="198" t="str">
        <x:v>风险分值由风险等级基础分、命中规则数和有效证据数公式计算；预警表建议审批后新增 risk_warnings。</x:v>
      </x:c>
      <x:c r="B2" s="198"/>
      <x:c r="C2" s="198"/>
      <x:c r="D2" s="198"/>
      <x:c r="E2" s="198"/>
      <x:c r="F2" s="198"/>
      <x:c r="G2" s="198"/>
      <x:c r="H2" s="198"/>
      <x:c r="I2" s="198"/>
      <x:c r="J2" s="198"/>
      <x:c r="K2" s="198"/>
      <x:c r="L2" s="198"/>
      <x:c r="M2" s="198"/>
      <x:c r="N2" s="198"/>
      <x:c r="O2" s="198"/>
      <x:c r="P2" s="198"/>
      <x:c r="Q2" s="198"/>
      <x:c r="R2" s="198"/>
      <x:c r="S2" s="198"/>
      <x:c r="T2" s="198"/>
    </x:row>
    <x:row r="3">
      <x:c r="A3" s="199"/>
      <x:c r="B3" s="199"/>
      <x:c r="C3" s="199"/>
      <x:c r="D3" s="199"/>
      <x:c r="E3" s="199"/>
      <x:c r="F3" s="199"/>
      <x:c r="G3" s="199"/>
      <x:c r="H3" s="199"/>
      <x:c r="I3" s="199"/>
      <x:c r="J3" s="199"/>
      <x:c r="K3" s="199"/>
      <x:c r="L3" s="199"/>
      <x:c r="M3" s="199"/>
      <x:c r="N3" s="199"/>
      <x:c r="O3" s="199"/>
      <x:c r="P3" s="199"/>
      <x:c r="Q3" s="199"/>
      <x:c r="R3" s="199"/>
      <x:c r="S3" s="199"/>
      <x:c r="T3" s="199"/>
    </x:row>
    <x:row r="4" ht="32" customHeight="1">
      <x:c r="A4" s="206" t="str">
        <x:v>预警编码</x:v>
      </x:c>
      <x:c r="B4" s="207" t="str">
        <x:v>案例ID</x:v>
      </x:c>
      <x:c r="C4" s="207" t="str">
        <x:v>场景编码</x:v>
      </x:c>
      <x:c r="D4" s="207" t="str">
        <x:v>预警标题</x:v>
      </x:c>
      <x:c r="E4" s="207" t="str">
        <x:v>对象ID</x:v>
      </x:c>
      <x:c r="F4" s="207" t="str">
        <x:v>对象名称</x:v>
      </x:c>
      <x:c r="G4" s="207" t="str">
        <x:v>阶段</x:v>
      </x:c>
      <x:c r="H4" s="207" t="str">
        <x:v>风险等级</x:v>
      </x:c>
      <x:c r="I4" s="207" t="str">
        <x:v>状态</x:v>
      </x:c>
      <x:c r="J4" s="207" t="str">
        <x:v>命中规则数</x:v>
      </x:c>
      <x:c r="K4" s="207" t="str">
        <x:v>有效证据数</x:v>
      </x:c>
      <x:c r="L4" s="207" t="str">
        <x:v>风险分值</x:v>
      </x:c>
      <x:c r="M4" s="207" t="str">
        <x:v>证据状态</x:v>
      </x:c>
      <x:c r="N4" s="207" t="str">
        <x:v>负责人</x:v>
      </x:c>
      <x:c r="O4" s="207" t="str">
        <x:v>组织</x:v>
      </x:c>
      <x:c r="P4" s="207" t="str">
        <x:v>生成时间</x:v>
      </x:c>
      <x:c r="Q4" s="207" t="str">
        <x:v>处置时限</x:v>
      </x:c>
      <x:c r="R4" s="207" t="str">
        <x:v>图谱版本</x:v>
      </x:c>
      <x:c r="S4" s="207" t="str">
        <x:v>场景版本ID</x:v>
      </x:c>
      <x:c r="T4" s="208" t="str">
        <x:v>追踪ID</x:v>
      </x:c>
    </x:row>
    <x:row r="5">
      <x:c r="A5" s="30" t="str">
        <x:v>WA-DEMO-001</x:v>
      </x:c>
      <x:c r="B5" s="30" t="str">
        <x:v>CASE-001</x:v>
      </x:c>
      <x:c r="C5" s="30" t="str">
        <x:v>SCENE-PROC-001</x:v>
      </x:c>
      <x:c r="D5" s="30" t="str">
        <x:v>达到公开招标阈值但采购方式不合规</x:v>
      </x:c>
      <x:c r="E5" s="30" t="str">
        <x:v>PRJ-001</x:v>
      </x:c>
      <x:c r="F5" s="30" t="str">
        <x:v>智能算力节点扩容采购项目</x:v>
      </x:c>
      <x:c r="G5" s="30" t="str">
        <x:v>事前</x:v>
      </x:c>
      <x:c r="H5" s="30" t="str">
        <x:v>重大</x:v>
      </x:c>
      <x:c r="I5" s="30" t="str">
        <x:v>待研判</x:v>
      </x:c>
      <x:c r="J5" s="36" t="n">
        <x:f>COUNTIFS('规则执行'!$L$5:$L$30,A5,'规则执行'!$H$5:$H$30,"命中")</x:f>
        <x:v>2</x:v>
      </x:c>
      <x:c r="K5" s="36" t="n">
        <x:f>COUNTIFS('证据链'!$A$5:$A$50,A5,'证据链'!$J$5:$J$50,"有效")</x:f>
        <x:v>4</x:v>
      </x:c>
      <x:c r="L5" s="36" t="n">
        <x:f>MIN('参数字典'!$B$21,IF(H5="重大",'参数字典'!$B$16,IF(H5="高",'参数字典'!$B$17,'参数字典'!$B$18))+J5*'参数字典'!$B$19+K5*'参数字典'!$B$20)</x:f>
        <x:v>92</x:v>
      </x:c>
      <x:c r="M5" s="30" t="str">
        <x:v>完整</x:v>
      </x:c>
      <x:c r="N5" s="30" t="str">
        <x:v>赵明</x:v>
      </x:c>
      <x:c r="O5" s="30" t="str">
        <x:v>数字基础设施事业部</x:v>
      </x:c>
      <x:c r="P5" s="68" t="n">
        <x:v>46208.04513888889</x:v>
      </x:c>
      <x:c r="Q5" s="68" t="n">
        <x:v>46209.416666666664</x:v>
      </x:c>
      <x:c r="R5" s="30" t="str">
        <x:v>GRAPH-PROC-DEMO-20260720.1</x:v>
      </x:c>
      <x:c r="S5" s="30" t="str">
        <x:v>SV-SCENE-PROC-001-V10</x:v>
      </x:c>
      <x:c r="T5" s="30" t="str">
        <x:v>trace-demo-001</x:v>
      </x:c>
    </x:row>
    <x:row r="6">
      <x:c r="A6" s="31" t="str">
        <x:v>WA-DEMO-002</x:v>
      </x:c>
      <x:c r="B6" s="31" t="str">
        <x:v>CASE-002</x:v>
      </x:c>
      <x:c r="C6" s="31" t="str">
        <x:v>SCENE-PROC-002</x:v>
      </x:c>
      <x:c r="D6" s="31" t="str">
        <x:v>同一需求疑似拆分采购规避集中采购</x:v>
      </x:c>
      <x:c r="E6" s="31" t="str">
        <x:v>DMD-002</x:v>
      </x:c>
      <x:c r="F6" s="31" t="str">
        <x:v>办公终端集中采购需求</x:v>
      </x:c>
      <x:c r="G6" s="31" t="str">
        <x:v>事前</x:v>
      </x:c>
      <x:c r="H6" s="31" t="str">
        <x:v>高</x:v>
      </x:c>
      <x:c r="I6" s="31" t="str">
        <x:v>核查中</x:v>
      </x:c>
      <x:c r="J6" s="37" t="n">
        <x:f>COUNTIFS('规则执行'!$L$5:$L$30,A6,'规则执行'!$H$5:$H$30,"命中")</x:f>
        <x:v>1</x:v>
      </x:c>
      <x:c r="K6" s="37" t="n">
        <x:f>COUNTIFS('证据链'!$A$5:$A$50,A6,'证据链'!$J$5:$J$50,"有效")</x:f>
        <x:v>4</x:v>
      </x:c>
      <x:c r="L6" s="37" t="n">
        <x:f>MIN('参数字典'!$B$21,IF(H6="重大",'参数字典'!$B$16,IF(H6="高",'参数字典'!$B$17,'参数字典'!$B$18))+J6*'参数字典'!$B$19+K6*'参数字典'!$B$20)</x:f>
        <x:v>76</x:v>
      </x:c>
      <x:c r="M6" s="31" t="str">
        <x:v>完整</x:v>
      </x:c>
      <x:c r="N6" s="31" t="str">
        <x:v>李华</x:v>
      </x:c>
      <x:c r="O6" s="31" t="str">
        <x:v>集团采购中心</x:v>
      </x:c>
      <x:c r="P6" s="69" t="n">
        <x:v>46202.09027777778</x:v>
      </x:c>
      <x:c r="Q6" s="69" t="n">
        <x:v>46204.416666666664</x:v>
      </x:c>
      <x:c r="R6" s="31" t="str">
        <x:v>GRAPH-PROC-DEMO-20260720.1</x:v>
      </x:c>
      <x:c r="S6" s="31" t="str">
        <x:v>SV-SCENE-PROC-002-V10</x:v>
      </x:c>
      <x:c r="T6" s="31" t="str">
        <x:v>trace-demo-002</x:v>
      </x:c>
    </x:row>
    <x:row r="7">
      <x:c r="A7" s="31" t="str">
        <x:v>WA-DEMO-003</x:v>
      </x:c>
      <x:c r="B7" s="31" t="str">
        <x:v>CASE-003</x:v>
      </x:c>
      <x:c r="C7" s="31" t="str">
        <x:v>SCENE-PROC-003</x:v>
      </x:c>
      <x:c r="D7" s="31" t="str">
        <x:v>数据中台二期疑似虚假招标</x:v>
      </x:c>
      <x:c r="E7" s="31" t="str">
        <x:v>PRJ-003</x:v>
      </x:c>
      <x:c r="F7" s="31" t="str">
        <x:v>数据中台二期建设项目</x:v>
      </x:c>
      <x:c r="G7" s="31" t="str">
        <x:v>事中</x:v>
      </x:c>
      <x:c r="H7" s="31" t="str">
        <x:v>重大</x:v>
      </x:c>
      <x:c r="I7" s="31" t="str">
        <x:v>已升级</x:v>
      </x:c>
      <x:c r="J7" s="37" t="n">
        <x:f>COUNTIFS('规则执行'!$L$5:$L$30,A7,'规则执行'!$H$5:$H$30,"命中")</x:f>
        <x:v>2</x:v>
      </x:c>
      <x:c r="K7" s="37" t="n">
        <x:f>COUNTIFS('证据链'!$A$5:$A$50,A7,'证据链'!$J$5:$J$50,"有效")</x:f>
        <x:v>5</x:v>
      </x:c>
      <x:c r="L7" s="37" t="n">
        <x:f>MIN('参数字典'!$B$21,IF(H7="重大",'参数字典'!$B$16,IF(H7="高",'参数字典'!$B$17,'参数字典'!$B$18))+J7*'参数字典'!$B$19+K7*'参数字典'!$B$20)</x:f>
        <x:v>92.5</x:v>
      </x:c>
      <x:c r="M7" s="31" t="str">
        <x:v>完整</x:v>
      </x:c>
      <x:c r="N7" s="31" t="str">
        <x:v>周航</x:v>
      </x:c>
      <x:c r="O7" s="31" t="str">
        <x:v>数据智能事业部</x:v>
      </x:c>
      <x:c r="P7" s="69" t="n">
        <x:v>46195.04861111111</x:v>
      </x:c>
      <x:c r="Q7" s="69" t="n">
        <x:v>46196.416666666664</x:v>
      </x:c>
      <x:c r="R7" s="31" t="str">
        <x:v>GRAPH-PROC-DEMO-20260720.1</x:v>
      </x:c>
      <x:c r="S7" s="31" t="str">
        <x:v>SV-SCENE-PROC-003-V10</x:v>
      </x:c>
      <x:c r="T7" s="31" t="str">
        <x:v>trace-demo-003</x:v>
      </x:c>
    </x:row>
    <x:row r="8">
      <x:c r="A8" s="31" t="str">
        <x:v>WA-DEMO-004</x:v>
      </x:c>
      <x:c r="B8" s="31" t="str">
        <x:v>CASE-004</x:v>
      </x:c>
      <x:c r="C8" s="31" t="str">
        <x:v>SCENE-PROC-004</x:v>
      </x:c>
      <x:c r="D8" s="31" t="str">
        <x:v>核心网络安全设备疑似围标串标</x:v>
      </x:c>
      <x:c r="E8" s="31" t="str">
        <x:v>PRJ-004</x:v>
      </x:c>
      <x:c r="F8" s="31" t="str">
        <x:v>核心网络安全设备采购项目</x:v>
      </x:c>
      <x:c r="G8" s="31" t="str">
        <x:v>事中</x:v>
      </x:c>
      <x:c r="H8" s="31" t="str">
        <x:v>重大</x:v>
      </x:c>
      <x:c r="I8" s="31" t="str">
        <x:v>核查整改中</x:v>
      </x:c>
      <x:c r="J8" s="37" t="n">
        <x:f>COUNTIFS('规则执行'!$L$5:$L$30,A8,'规则执行'!$H$5:$H$30,"命中")</x:f>
        <x:v>2</x:v>
      </x:c>
      <x:c r="K8" s="37" t="n">
        <x:f>COUNTIFS('证据链'!$A$5:$A$50,A8,'证据链'!$J$5:$J$50,"有效")</x:f>
        <x:v>7</x:v>
      </x:c>
      <x:c r="L8" s="37" t="n">
        <x:f>MIN('参数字典'!$B$21,IF(H8="重大",'参数字典'!$B$16,IF(H8="高",'参数字典'!$B$17,'参数字典'!$B$18))+J8*'参数字典'!$B$19+K8*'参数字典'!$B$20)</x:f>
        <x:v>93.5</x:v>
      </x:c>
      <x:c r="M8" s="31" t="str">
        <x:v>完整</x:v>
      </x:c>
      <x:c r="N8" s="31" t="str">
        <x:v>周航</x:v>
      </x:c>
      <x:c r="O8" s="31" t="str">
        <x:v>信息安全事业部</x:v>
      </x:c>
      <x:c r="P8" s="69" t="n">
        <x:v>46172.04513888889</x:v>
      </x:c>
      <x:c r="Q8" s="69" t="n">
        <x:v>46173.416666666664</x:v>
      </x:c>
      <x:c r="R8" s="31" t="str">
        <x:v>GRAPH-PROC-DEMO-20260720.1</x:v>
      </x:c>
      <x:c r="S8" s="31" t="str">
        <x:v>SV-SCENE-PROC-004-V10</x:v>
      </x:c>
      <x:c r="T8" s="31" t="str">
        <x:v>trace-demo-004</x:v>
      </x:c>
    </x:row>
    <x:row r="9">
      <x:c r="A9" s="31" t="str">
        <x:v>WA-DEMO-005</x:v>
      </x:c>
      <x:c r="B9" s="31" t="str">
        <x:v>CASE-005</x:v>
      </x:c>
      <x:c r="C9" s="31" t="str">
        <x:v>SCENE-PROC-005</x:v>
      </x:c>
      <x:c r="D9" s="31" t="str">
        <x:v>云资源运维服务采购流程不规范</x:v>
      </x:c>
      <x:c r="E9" s="31" t="str">
        <x:v>PRJ-005</x:v>
      </x:c>
      <x:c r="F9" s="31" t="str">
        <x:v>云资源运维服务采购项目</x:v>
      </x:c>
      <x:c r="G9" s="31" t="str">
        <x:v>事中</x:v>
      </x:c>
      <x:c r="H9" s="31" t="str">
        <x:v>高</x:v>
      </x:c>
      <x:c r="I9" s="31" t="str">
        <x:v>待复核</x:v>
      </x:c>
      <x:c r="J9" s="37" t="n">
        <x:f>COUNTIFS('规则执行'!$L$5:$L$30,A9,'规则执行'!$H$5:$H$30,"命中")</x:f>
        <x:v>3</x:v>
      </x:c>
      <x:c r="K9" s="37" t="n">
        <x:f>COUNTIFS('证据链'!$A$5:$A$50,A9,'证据链'!$J$5:$J$50,"有效")</x:f>
        <x:v>4</x:v>
      </x:c>
      <x:c r="L9" s="37" t="n">
        <x:f>MIN('参数字典'!$B$21,IF(H9="重大",'参数字典'!$B$16,IF(H9="高",'参数字典'!$B$17,'参数字典'!$B$18))+J9*'参数字典'!$B$19+K9*'参数字典'!$B$20)</x:f>
        <x:v>84</x:v>
      </x:c>
      <x:c r="M9" s="31" t="str">
        <x:v>部分缺失</x:v>
      </x:c>
      <x:c r="N9" s="31" t="str">
        <x:v>陈洁</x:v>
      </x:c>
      <x:c r="O9" s="31" t="str">
        <x:v>云运营事业部</x:v>
      </x:c>
      <x:c r="P9" s="69" t="n">
        <x:v>46182.04305555556</x:v>
      </x:c>
      <x:c r="Q9" s="69" t="n">
        <x:v>46184.416666666664</x:v>
      </x:c>
      <x:c r="R9" s="31" t="str">
        <x:v>GRAPH-PROC-DEMO-20260720.1</x:v>
      </x:c>
      <x:c r="S9" s="31" t="str">
        <x:v>SV-SCENE-PROC-005-V10</x:v>
      </x:c>
      <x:c r="T9" s="31" t="str">
        <x:v>trace-demo-005</x:v>
      </x:c>
    </x:row>
    <x:row r="10">
      <x:c r="A10" s="31" t="str">
        <x:v>WA-DEMO-006</x:v>
      </x:c>
      <x:c r="B10" s="31" t="str">
        <x:v>CASE-006</x:v>
      </x:c>
      <x:c r="C10" s="31" t="str">
        <x:v>SCENE-SC-006</x:v>
      </x:c>
      <x:c r="D10" s="31" t="str">
        <x:v>存储设备扩容疑似虚假贸易与资金回流</x:v>
      </x:c>
      <x:c r="E10" s="31" t="str">
        <x:v>CON-006</x:v>
      </x:c>
      <x:c r="F10" s="31" t="str">
        <x:v>存储设备扩容采购合同</x:v>
      </x:c>
      <x:c r="G10" s="31" t="str">
        <x:v>事后</x:v>
      </x:c>
      <x:c r="H10" s="31" t="str">
        <x:v>重大</x:v>
      </x:c>
      <x:c r="I10" s="31" t="str">
        <x:v>已升级</x:v>
      </x:c>
      <x:c r="J10" s="37" t="n">
        <x:f>COUNTIFS('规则执行'!$L$5:$L$30,A10,'规则执行'!$H$5:$H$30,"命中")</x:f>
        <x:v>2</x:v>
      </x:c>
      <x:c r="K10" s="37" t="n">
        <x:f>COUNTIFS('证据链'!$A$5:$A$50,A10,'证据链'!$J$5:$J$50,"有效")</x:f>
        <x:v>5</x:v>
      </x:c>
      <x:c r="L10" s="37" t="n">
        <x:f>MIN('参数字典'!$B$21,IF(H10="重大",'参数字典'!$B$16,IF(H10="高",'参数字典'!$B$17,'参数字典'!$B$18))+J10*'参数字典'!$B$19+K10*'参数字典'!$B$20)</x:f>
        <x:v>92.5</x:v>
      </x:c>
      <x:c r="M10" s="31" t="str">
        <x:v>完整</x:v>
      </x:c>
      <x:c r="N10" s="31" t="str">
        <x:v>王宁</x:v>
      </x:c>
      <x:c r="O10" s="31" t="str">
        <x:v>数字基础设施事业部</x:v>
      </x:c>
      <x:c r="P10" s="69" t="n">
        <x:v>46203.083333333336</x:v>
      </x:c>
      <x:c r="Q10" s="69" t="n">
        <x:v>46204.416666666664</x:v>
      </x:c>
      <x:c r="R10" s="31" t="str">
        <x:v>GRAPH-PROC-DEMO-20260720.1</x:v>
      </x:c>
      <x:c r="S10" s="31" t="str">
        <x:v>SV-SCENE-SC-006-V10</x:v>
      </x:c>
      <x:c r="T10" s="31" t="str">
        <x:v>trace-demo-006</x:v>
      </x:c>
    </x:row>
    <x:row r="11">
      <x:c r="A11" s="32" t="str">
        <x:v>WA-DEMO-007</x:v>
      </x:c>
      <x:c r="B11" s="32" t="str">
        <x:v>CASE-007</x:v>
      </x:c>
      <x:c r="C11" s="32" t="str">
        <x:v>SCENE-CON-007</x:v>
      </x:c>
      <x:c r="D11" s="32" t="str">
        <x:v>安全运营服务合同异常变更并超前付款</x:v>
      </x:c>
      <x:c r="E11" s="32" t="str">
        <x:v>CON-007</x:v>
      </x:c>
      <x:c r="F11" s="32" t="str">
        <x:v>安全运营服务采购合同</x:v>
      </x:c>
      <x:c r="G11" s="32" t="str">
        <x:v>事后</x:v>
      </x:c>
      <x:c r="H11" s="32" t="str">
        <x:v>高</x:v>
      </x:c>
      <x:c r="I11" s="32" t="str">
        <x:v>持续观察</x:v>
      </x:c>
      <x:c r="J11" s="38" t="n">
        <x:f>COUNTIFS('规则执行'!$L$5:$L$30,A11,'规则执行'!$H$5:$H$30,"命中")</x:f>
        <x:v>2</x:v>
      </x:c>
      <x:c r="K11" s="38" t="n">
        <x:f>COUNTIFS('证据链'!$A$5:$A$50,A11,'证据链'!$J$5:$J$50,"有效")</x:f>
        <x:v>4</x:v>
      </x:c>
      <x:c r="L11" s="38" t="n">
        <x:f>MIN('参数字典'!$B$21,IF(H11="重大",'参数字典'!$B$16,IF(H11="高",'参数字典'!$B$17,'参数字典'!$B$18))+J11*'参数字典'!$B$19+K11*'参数字典'!$B$20)</x:f>
        <x:v>80</x:v>
      </x:c>
      <x:c r="M11" s="32" t="str">
        <x:v>完整</x:v>
      </x:c>
      <x:c r="N11" s="32" t="str">
        <x:v>刘敏</x:v>
      </x:c>
      <x:c r="O11" s="32" t="str">
        <x:v>信息安全事业部</x:v>
      </x:c>
      <x:c r="P11" s="70" t="n">
        <x:v>46163.12847222222</x:v>
      </x:c>
      <x:c r="Q11" s="70" t="n">
        <x:v>46165.416666666664</x:v>
      </x:c>
      <x:c r="R11" s="32" t="str">
        <x:v>GRAPH-PROC-DEMO-20260720.1</x:v>
      </x:c>
      <x:c r="S11" s="32" t="str">
        <x:v>SV-SCENE-CON-007-V10</x:v>
      </x:c>
      <x:c r="T11" s="32" t="str">
        <x:v>trace-demo-007</x:v>
      </x:c>
    </x:row>
  </x:sheetData>
  <x:mergeCells>
    <x:mergeCell ref="A1:T1"/>
    <x:mergeCell ref="A2:T2"/>
  </x:mergeCells>
  <x:conditionalFormatting sqref="L5:L11">
    <x:cfRule type="colorScale" priority="1">
      <x:colorScale>
        <x:cfvo type="min"/>
        <x:cfvo type="percentile" val="50"/>
        <x:cfvo type="max"/>
        <x:color rgb="FFFFF2CC"/>
        <x:color rgb="FFF4B183"/>
        <x:color rgb="FFC00000"/>
      </x:colorScale>
    </x:cfRule>
  </x:conditionalFormatting>
  <x:dataValidations count="2">
    <x:dataValidation type="list" sqref="G5:G11">
      <x:formula1>"事前,事中,事后"</x:formula1>
    </x:dataValidation>
    <x:dataValidation type="list" sqref="H5:H11">
      <x:formula1>"重大,高,中,低"</x:formula1>
    </x:dataValidation>
  </x:dataValidations>
  <x:pageMargins left="0.7" right="0.7" top="0.75" bottom="0.75" header="0.3" footer="0.3"/>
  <x:tableParts count="1">
    <x:tablePart xmlns:r="http://schemas.openxmlformats.org/officeDocument/2006/relationships" r:id="R8b9b15f45cb142cb"/>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2" hidden="0" customWidth="1"/>
    <x:col min="3" max="3" width="16" hidden="0" customWidth="1"/>
    <x:col min="4" max="4" width="16" hidden="0" customWidth="1"/>
    <x:col min="5" max="5" width="18" hidden="0" customWidth="1"/>
    <x:col min="6" max="6" width="20" hidden="0" customWidth="1"/>
    <x:col min="7" max="7" width="24" hidden="0" customWidth="1"/>
    <x:col min="8" max="8" width="46" hidden="0" customWidth="1"/>
    <x:col min="9" max="9" width="19" hidden="0" customWidth="1"/>
    <x:col min="10" max="10" width="10" hidden="0" customWidth="1"/>
    <x:col min="11" max="11" width="22" hidden="0" customWidth="1"/>
    <x:col min="12" max="12" width="34" hidden="0" customWidth="1"/>
  </x:cols>
  <x:sheetData>
    <x:row r="1" ht="34" customHeight="1">
      <x:c r="A1" s="4" t="str">
        <x:v>风险预警证据链</x:v>
      </x:c>
      <x:c r="B1" s="4"/>
      <x:c r="C1" s="4"/>
      <x:c r="D1" s="4"/>
      <x:c r="E1" s="4"/>
      <x:c r="F1" s="4"/>
      <x:c r="G1" s="4"/>
      <x:c r="H1" s="4"/>
      <x:c r="I1" s="4"/>
      <x:c r="J1" s="4"/>
      <x:c r="K1" s="4"/>
      <x:c r="L1" s="4"/>
    </x:row>
    <x:row r="2" ht="32" customHeight="1">
      <x:c r="A2" s="8" t="str">
        <x:v>每条证据保留来源系统、原始记录、字段或关系、实际值、采集时间和摘要哈希；建议审批后新增 risk_evidence。</x:v>
      </x:c>
      <x:c r="B2" s="8"/>
      <x:c r="C2" s="8"/>
      <x:c r="D2" s="8"/>
      <x:c r="E2" s="8"/>
      <x:c r="F2" s="8"/>
      <x:c r="G2" s="8"/>
      <x:c r="H2" s="8"/>
      <x:c r="I2" s="8"/>
      <x:c r="J2" s="8"/>
      <x:c r="K2" s="8"/>
      <x:c r="L2" s="8"/>
    </x:row>
    <x:row r="4" ht="32" customHeight="1">
      <x:c r="A4" s="113" t="str">
        <x:v>预警编码</x:v>
      </x:c>
      <x:c r="B4" s="114" t="str">
        <x:v>案例ID</x:v>
      </x:c>
      <x:c r="C4" s="114" t="str">
        <x:v>证据ID</x:v>
      </x:c>
      <x:c r="D4" s="114" t="str">
        <x:v>证据类型</x:v>
      </x:c>
      <x:c r="E4" s="114" t="str">
        <x:v>来源系统</x:v>
      </x:c>
      <x:c r="F4" s="114" t="str">
        <x:v>来源记录</x:v>
      </x:c>
      <x:c r="G4" s="114" t="str">
        <x:v>字段/关系</x:v>
      </x:c>
      <x:c r="H4" s="114" t="str">
        <x:v>证据值</x:v>
      </x:c>
      <x:c r="I4" s="114" t="str">
        <x:v>采集时间</x:v>
      </x:c>
      <x:c r="J4" s="114" t="str">
        <x:v>有效性</x:v>
      </x:c>
      <x:c r="K4" s="114" t="str">
        <x:v>证据哈希（脱敏）</x:v>
      </x:c>
      <x:c r="L4" s="115" t="str">
        <x:v>说明</x:v>
      </x:c>
    </x:row>
    <x:row r="5">
      <x:c r="A5" s="30" t="str">
        <x:v>WA-DEMO-001</x:v>
      </x:c>
      <x:c r="B5" s="30" t="str">
        <x:v>CASE-001</x:v>
      </x:c>
      <x:c r="C5" s="30" t="str">
        <x:v>EVI-001-01</x:v>
      </x:c>
      <x:c r="D5" s="30" t="str">
        <x:v>金额证据</x:v>
      </x:c>
      <x:c r="E5" s="30" t="str">
        <x:v>ERP</x:v>
      </x:c>
      <x:c r="F5" s="30" t="str">
        <x:v>PRJ-001</x:v>
      </x:c>
      <x:c r="G5" s="30" t="str">
        <x:v>项目估算金额</x:v>
      </x:c>
      <x:c r="H5" s="30" t="str">
        <x:v>5,280,000元</x:v>
      </x:c>
      <x:c r="I5" s="68" t="n">
        <x:v>46208.04513888889</x:v>
      </x:c>
      <x:c r="J5" s="30" t="str">
        <x:v>有效</x:v>
      </x:c>
      <x:c r="K5" s="30" t="str">
        <x:v>sha256:001a****</x:v>
      </x:c>
      <x:c r="L5" s="30" t="str">
        <x:v>达到公开招标演示阈值</x:v>
      </x:c>
    </x:row>
    <x:row r="6">
      <x:c r="A6" s="31" t="str">
        <x:v>WA-DEMO-001</x:v>
      </x:c>
      <x:c r="B6" s="31" t="str">
        <x:v>CASE-001</x:v>
      </x:c>
      <x:c r="C6" s="31" t="str">
        <x:v>EVI-001-02</x:v>
      </x:c>
      <x:c r="D6" s="31" t="str">
        <x:v>采购方式证据</x:v>
      </x:c>
      <x:c r="E6" s="31" t="str">
        <x:v>ERP</x:v>
      </x:c>
      <x:c r="F6" s="31" t="str">
        <x:v>PLAN-001</x:v>
      </x:c>
      <x:c r="G6" s="31" t="str">
        <x:v>采购方式</x:v>
      </x:c>
      <x:c r="H6" s="31" t="str">
        <x:v>竞争性谈判</x:v>
      </x:c>
      <x:c r="I6" s="69" t="n">
        <x:v>46208.04513888889</x:v>
      </x:c>
      <x:c r="J6" s="31" t="str">
        <x:v>有效</x:v>
      </x:c>
      <x:c r="K6" s="31" t="str">
        <x:v>sha256:001b****</x:v>
      </x:c>
      <x:c r="L6" s="31" t="str">
        <x:v>非公开招标</x:v>
      </x:c>
    </x:row>
    <x:row r="7">
      <x:c r="A7" s="31" t="str">
        <x:v>WA-DEMO-001</x:v>
      </x:c>
      <x:c r="B7" s="31" t="str">
        <x:v>CASE-001</x:v>
      </x:c>
      <x:c r="C7" s="31" t="str">
        <x:v>EVI-001-03</x:v>
      </x:c>
      <x:c r="D7" s="31" t="str">
        <x:v>审批证据</x:v>
      </x:c>
      <x:c r="E7" s="31" t="str">
        <x:v>OA</x:v>
      </x:c>
      <x:c r="F7" s="31" t="str">
        <x:v>PLAN-001</x:v>
      </x:c>
      <x:c r="G7" s="31" t="str">
        <x:v>例外审批单号</x:v>
      </x:c>
      <x:c r="H7" s="31" t="str">
        <x:v>空</x:v>
      </x:c>
      <x:c r="I7" s="69" t="n">
        <x:v>46208.04513888889</x:v>
      </x:c>
      <x:c r="J7" s="31" t="str">
        <x:v>有效</x:v>
      </x:c>
      <x:c r="K7" s="31" t="str">
        <x:v>sha256:001c****</x:v>
      </x:c>
      <x:c r="L7" s="31" t="str">
        <x:v>未检索到例外审批</x:v>
      </x:c>
    </x:row>
    <x:row r="8">
      <x:c r="A8" s="31" t="str">
        <x:v>WA-DEMO-001</x:v>
      </x:c>
      <x:c r="B8" s="31" t="str">
        <x:v>CASE-001</x:v>
      </x:c>
      <x:c r="C8" s="31" t="str">
        <x:v>EVI-001-04</x:v>
      </x:c>
      <x:c r="D8" s="31" t="str">
        <x:v>制度参数</x:v>
      </x:c>
      <x:c r="E8" s="31" t="str">
        <x:v>规则参数库</x:v>
      </x:c>
      <x:c r="F8" s="31" t="str">
        <x:v>PUBLIC_TENDER_THRESHOLD_GOODS</x:v>
      </x:c>
      <x:c r="G8" s="31" t="str">
        <x:v>阈值</x:v>
      </x:c>
      <x:c r="H8" s="31" t="str">
        <x:v>4,000,000元</x:v>
      </x:c>
      <x:c r="I8" s="69" t="n">
        <x:v>46208.04513888889</x:v>
      </x:c>
      <x:c r="J8" s="31" t="str">
        <x:v>有效</x:v>
      </x:c>
      <x:c r="K8" s="31" t="str">
        <x:v>sha256:001d****</x:v>
      </x:c>
      <x:c r="L8" s="31" t="str">
        <x:v>演示参数</x:v>
      </x:c>
    </x:row>
    <x:row r="9">
      <x:c r="A9" s="31" t="str">
        <x:v>WA-DEMO-002</x:v>
      </x:c>
      <x:c r="B9" s="31" t="str">
        <x:v>CASE-002</x:v>
      </x:c>
      <x:c r="C9" s="31" t="str">
        <x:v>EVI-002-01</x:v>
      </x:c>
      <x:c r="D9" s="31" t="str">
        <x:v>需求证据</x:v>
      </x:c>
      <x:c r="E9" s="31" t="str">
        <x:v>ERP</x:v>
      </x:c>
      <x:c r="F9" s="31" t="str">
        <x:v>DMD-002</x:v>
      </x:c>
      <x:c r="G9" s="31" t="str">
        <x:v>原始需求金额</x:v>
      </x:c>
      <x:c r="H9" s="31" t="str">
        <x:v>2,160,000元</x:v>
      </x:c>
      <x:c r="I9" s="69" t="n">
        <x:v>46202.09027777778</x:v>
      </x:c>
      <x:c r="J9" s="31" t="str">
        <x:v>有效</x:v>
      </x:c>
      <x:c r="K9" s="31" t="str">
        <x:v>sha256:002a****</x:v>
      </x:c>
      <x:c r="L9" s="31" t="str">
        <x:v>同一需求</x:v>
      </x:c>
    </x:row>
    <x:row r="10">
      <x:c r="A10" s="31" t="str">
        <x:v>WA-DEMO-002</x:v>
      </x:c>
      <x:c r="B10" s="31" t="str">
        <x:v>CASE-002</x:v>
      </x:c>
      <x:c r="C10" s="31" t="str">
        <x:v>EVI-002-02</x:v>
      </x:c>
      <x:c r="D10" s="31" t="str">
        <x:v>项目证据</x:v>
      </x:c>
      <x:c r="E10" s="31" t="str">
        <x:v>ERP</x:v>
      </x:c>
      <x:c r="F10" s="31" t="str">
        <x:v>PRJ-002A/B/C</x:v>
      </x:c>
      <x:c r="G10" s="31" t="str">
        <x:v>项目创建时间</x:v>
      </x:c>
      <x:c r="H10" s="31" t="str">
        <x:v>6月10日、18日、28日</x:v>
      </x:c>
      <x:c r="I10" s="69" t="n">
        <x:v>46202.09027777778</x:v>
      </x:c>
      <x:c r="J10" s="31" t="str">
        <x:v>有效</x:v>
      </x:c>
      <x:c r="K10" s="31" t="str">
        <x:v>sha256:002b****</x:v>
      </x:c>
      <x:c r="L10" s="31" t="str">
        <x:v>30天内三项目</x:v>
      </x:c>
    </x:row>
    <x:row r="11">
      <x:c r="A11" s="31" t="str">
        <x:v>WA-DEMO-002</x:v>
      </x:c>
      <x:c r="B11" s="31" t="str">
        <x:v>CASE-002</x:v>
      </x:c>
      <x:c r="C11" s="31" t="str">
        <x:v>EVI-002-03</x:v>
      </x:c>
      <x:c r="D11" s="31" t="str">
        <x:v>图谱路径</x:v>
      </x:c>
      <x:c r="E11" s="31" t="str">
        <x:v>Graph</x:v>
      </x:c>
      <x:c r="F11" s="31" t="str">
        <x:v>DMD-002</x:v>
      </x:c>
      <x:c r="G11" s="31" t="str">
        <x:v>拆分自需求</x:v>
      </x:c>
      <x:c r="H11" s="31" t="str">
        <x:v>PRJ-002A/B/C → DMD-002</x:v>
      </x:c>
      <x:c r="I11" s="69" t="n">
        <x:v>46202.09027777778</x:v>
      </x:c>
      <x:c r="J11" s="31" t="str">
        <x:v>有效</x:v>
      </x:c>
      <x:c r="K11" s="31" t="str">
        <x:v>sha256:002c****</x:v>
      </x:c>
      <x:c r="L11" s="31" t="str">
        <x:v>三项目同源</x:v>
      </x:c>
    </x:row>
    <x:row r="12">
      <x:c r="A12" s="31" t="str">
        <x:v>WA-DEMO-002</x:v>
      </x:c>
      <x:c r="B12" s="31" t="str">
        <x:v>CASE-002</x:v>
      </x:c>
      <x:c r="C12" s="31" t="str">
        <x:v>EVI-002-04</x:v>
      </x:c>
      <x:c r="D12" s="31" t="str">
        <x:v>订单证据</x:v>
      </x:c>
      <x:c r="E12" s="31" t="str">
        <x:v>ERP</x:v>
      </x:c>
      <x:c r="F12" s="31" t="str">
        <x:v>PO-002A/B/C</x:v>
      </x:c>
      <x:c r="G12" s="31" t="str">
        <x:v>累计订单金额</x:v>
      </x:c>
      <x:c r="H12" s="31" t="str">
        <x:v>720,000+710,000+730,000=2,160,000元</x:v>
      </x:c>
      <x:c r="I12" s="69" t="n">
        <x:v>46202.09027777778</x:v>
      </x:c>
      <x:c r="J12" s="31" t="str">
        <x:v>有效</x:v>
      </x:c>
      <x:c r="K12" s="31" t="str">
        <x:v>sha256:002d****</x:v>
      </x:c>
      <x:c r="L12" s="31" t="str">
        <x:v>超过集中采购阈值</x:v>
      </x:c>
    </x:row>
    <x:row r="13">
      <x:c r="A13" s="31" t="str">
        <x:v>WA-DEMO-003</x:v>
      </x:c>
      <x:c r="B13" s="31" t="str">
        <x:v>CASE-003</x:v>
      </x:c>
      <x:c r="C13" s="31" t="str">
        <x:v>EVI-003-01</x:v>
      </x:c>
      <x:c r="D13" s="31" t="str">
        <x:v>网络证据</x:v>
      </x:c>
      <x:c r="E13" s="31" t="str">
        <x:v>LogAudit</x:v>
      </x:c>
      <x:c r="F13" s="31" t="str">
        <x:v>IP-003-SHARED</x:v>
      </x:c>
      <x:c r="G13" s="31" t="str">
        <x:v>上传IP</x:v>
      </x:c>
      <x:c r="H13" s="31" t="str">
        <x:v>3家投标均为10.24.*.18</x:v>
      </x:c>
      <x:c r="I13" s="69" t="n">
        <x:v>46195.04861111111</x:v>
      </x:c>
      <x:c r="J13" s="31" t="str">
        <x:v>有效</x:v>
      </x:c>
      <x:c r="K13" s="31" t="str">
        <x:v>sha256:003a****</x:v>
      </x:c>
      <x:c r="L13" s="31" t="str">
        <x:v>同IP</x:v>
      </x:c>
    </x:row>
    <x:row r="14">
      <x:c r="A14" s="31" t="str">
        <x:v>WA-DEMO-003</x:v>
      </x:c>
      <x:c r="B14" s="31" t="str">
        <x:v>CASE-003</x:v>
      </x:c>
      <x:c r="C14" s="31" t="str">
        <x:v>EVI-003-02</x:v>
      </x:c>
      <x:c r="D14" s="31" t="str">
        <x:v>设备证据</x:v>
      </x:c>
      <x:c r="E14" s="31" t="str">
        <x:v>LogAudit</x:v>
      </x:c>
      <x:c r="F14" s="31" t="str">
        <x:v>DEV-003-SHARED</x:v>
      </x:c>
      <x:c r="G14" s="31" t="str">
        <x:v>设备指纹</x:v>
      </x:c>
      <x:c r="H14" s="31" t="str">
        <x:v>3份文件均由DEV-7F21-****制作</x:v>
      </x:c>
      <x:c r="I14" s="69" t="n">
        <x:v>46195.04861111111</x:v>
      </x:c>
      <x:c r="J14" s="31" t="str">
        <x:v>有效</x:v>
      </x:c>
      <x:c r="K14" s="31" t="str">
        <x:v>sha256:003b****</x:v>
      </x:c>
      <x:c r="L14" s="31" t="str">
        <x:v>同设备</x:v>
      </x:c>
    </x:row>
    <x:row r="15">
      <x:c r="A15" s="31" t="str">
        <x:v>WA-DEMO-003</x:v>
      </x:c>
      <x:c r="B15" s="31" t="str">
        <x:v>CASE-003</x:v>
      </x:c>
      <x:c r="C15" s="31" t="str">
        <x:v>EVI-003-03</x:v>
      </x:c>
      <x:c r="D15" s="31" t="str">
        <x:v>主体关系</x:v>
      </x:c>
      <x:c r="E15" s="31" t="str">
        <x:v>ExternalCorp</x:v>
      </x:c>
      <x:c r="F15" s="31" t="str">
        <x:v>PER-SUP-001</x:v>
      </x:c>
      <x:c r="G15" s="31" t="str">
        <x:v>任职关联</x:v>
      </x:c>
      <x:c r="H15" s="31" t="str">
        <x:v>同一经办人关联3家投标主体</x:v>
      </x:c>
      <x:c r="I15" s="69" t="n">
        <x:v>46195.04861111111</x:v>
      </x:c>
      <x:c r="J15" s="31" t="str">
        <x:v>有效</x:v>
      </x:c>
      <x:c r="K15" s="31" t="str">
        <x:v>sha256:003c****</x:v>
      </x:c>
      <x:c r="L15" s="31" t="str">
        <x:v>跨主体任职</x:v>
      </x:c>
    </x:row>
    <x:row r="16">
      <x:c r="A16" s="31" t="str">
        <x:v>WA-DEMO-003</x:v>
      </x:c>
      <x:c r="B16" s="31" t="str">
        <x:v>CASE-003</x:v>
      </x:c>
      <x:c r="C16" s="31" t="str">
        <x:v>EVI-003-04</x:v>
      </x:c>
      <x:c r="D16" s="31" t="str">
        <x:v>文件证据</x:v>
      </x:c>
      <x:c r="E16" s="31" t="str">
        <x:v>EProcurement</x:v>
      </x:c>
      <x:c r="F16" s="31" t="str">
        <x:v>DOC-003A/B/C</x:v>
      </x:c>
      <x:c r="G16" s="31" t="str">
        <x:v>相似度/作者</x:v>
      </x:c>
      <x:c r="H16" s="31" t="str">
        <x:v>94%-96%；作者均为Admin</x:v>
      </x:c>
      <x:c r="I16" s="69" t="n">
        <x:v>46195.04861111111</x:v>
      </x:c>
      <x:c r="J16" s="31" t="str">
        <x:v>有效</x:v>
      </x:c>
      <x:c r="K16" s="31" t="str">
        <x:v>sha256:003d****</x:v>
      </x:c>
      <x:c r="L16" s="31" t="str">
        <x:v>文件高度相似</x:v>
      </x:c>
    </x:row>
    <x:row r="17">
      <x:c r="A17" s="31" t="str">
        <x:v>WA-DEMO-003</x:v>
      </x:c>
      <x:c r="B17" s="31" t="str">
        <x:v>CASE-003</x:v>
      </x:c>
      <x:c r="C17" s="31" t="str">
        <x:v>EVI-003-05</x:v>
      </x:c>
      <x:c r="D17" s="31" t="str">
        <x:v>人员规模</x:v>
      </x:c>
      <x:c r="E17" s="31" t="str">
        <x:v>SupplierMDM</x:v>
      </x:c>
      <x:c r="F17" s="31" t="str">
        <x:v>SUP-C004/C005</x:v>
      </x:c>
      <x:c r="G17" s="31" t="str">
        <x:v>员工人数</x:v>
      </x:c>
      <x:c r="H17" s="31" t="str">
        <x:v>2人、1人</x:v>
      </x:c>
      <x:c r="I17" s="69" t="n">
        <x:v>46195.04861111111</x:v>
      </x:c>
      <x:c r="J17" s="31" t="str">
        <x:v>有效</x:v>
      </x:c>
      <x:c r="K17" s="31" t="str">
        <x:v>sha256:003e****</x:v>
      </x:c>
      <x:c r="L17" s="31" t="str">
        <x:v>疑似陪标壳企业</x:v>
      </x:c>
    </x:row>
    <x:row r="18">
      <x:c r="A18" s="31" t="str">
        <x:v>WA-DEMO-004</x:v>
      </x:c>
      <x:c r="B18" s="31" t="str">
        <x:v>CASE-004</x:v>
      </x:c>
      <x:c r="C18" s="31" t="str">
        <x:v>EVI-004-01</x:v>
      </x:c>
      <x:c r="D18" s="31" t="str">
        <x:v>控制关系</x:v>
      </x:c>
      <x:c r="E18" s="31" t="str">
        <x:v>ExternalCorp</x:v>
      </x:c>
      <x:c r="F18" s="31" t="str">
        <x:v>PER-CTRL-001</x:v>
      </x:c>
      <x:c r="G18" s="31" t="str">
        <x:v>实际控制</x:v>
      </x:c>
      <x:c r="H18" s="31" t="str">
        <x:v>李强控制SUP-C006/C007/C008</x:v>
      </x:c>
      <x:c r="I18" s="69" t="n">
        <x:v>46172.04513888889</x:v>
      </x:c>
      <x:c r="J18" s="31" t="str">
        <x:v>有效</x:v>
      </x:c>
      <x:c r="K18" s="31" t="str">
        <x:v>sha256:004a****</x:v>
      </x:c>
      <x:c r="L18" s="31" t="str">
        <x:v>共同控制</x:v>
      </x:c>
    </x:row>
    <x:row r="19">
      <x:c r="A19" s="31" t="str">
        <x:v>WA-DEMO-004</x:v>
      </x:c>
      <x:c r="B19" s="31" t="str">
        <x:v>CASE-004</x:v>
      </x:c>
      <x:c r="C19" s="31" t="str">
        <x:v>EVI-004-02</x:v>
      </x:c>
      <x:c r="D19" s="31" t="str">
        <x:v>联系方式</x:v>
      </x:c>
      <x:c r="E19" s="31" t="str">
        <x:v>SupplierMDM</x:v>
      </x:c>
      <x:c r="F19" s="31" t="str">
        <x:v>CONTACT-004-SHARED</x:v>
      </x:c>
      <x:c r="G19" s="31" t="str">
        <x:v>联系电话</x:v>
      </x:c>
      <x:c r="H19" s="31" t="str">
        <x:v>138****8201</x:v>
      </x:c>
      <x:c r="I19" s="69" t="n">
        <x:v>46172.04513888889</x:v>
      </x:c>
      <x:c r="J19" s="31" t="str">
        <x:v>有效</x:v>
      </x:c>
      <x:c r="K19" s="31" t="str">
        <x:v>sha256:004b****</x:v>
      </x:c>
      <x:c r="L19" s="31" t="str">
        <x:v>三家共用</x:v>
      </x:c>
    </x:row>
    <x:row r="20">
      <x:c r="A20" s="31" t="str">
        <x:v>WA-DEMO-004</x:v>
      </x:c>
      <x:c r="B20" s="31" t="str">
        <x:v>CASE-004</x:v>
      </x:c>
      <x:c r="C20" s="31" t="str">
        <x:v>EVI-004-03</x:v>
      </x:c>
      <x:c r="D20" s="31" t="str">
        <x:v>工商地址</x:v>
      </x:c>
      <x:c r="E20" s="31" t="str">
        <x:v>ExternalCorp</x:v>
      </x:c>
      <x:c r="F20" s="31" t="str">
        <x:v>ADDR-004-SHARED</x:v>
      </x:c>
      <x:c r="G20" s="31" t="str">
        <x:v>注册地址</x:v>
      </x:c>
      <x:c r="H20" s="31" t="str">
        <x:v>北京市海淀区中关村大街**号</x:v>
      </x:c>
      <x:c r="I20" s="69" t="n">
        <x:v>46172.04513888889</x:v>
      </x:c>
      <x:c r="J20" s="31" t="str">
        <x:v>有效</x:v>
      </x:c>
      <x:c r="K20" s="31" t="str">
        <x:v>sha256:004c****</x:v>
      </x:c>
      <x:c r="L20" s="31" t="str">
        <x:v>三家共址</x:v>
      </x:c>
    </x:row>
    <x:row r="21">
      <x:c r="A21" s="31" t="str">
        <x:v>WA-DEMO-004</x:v>
      </x:c>
      <x:c r="B21" s="31" t="str">
        <x:v>CASE-004</x:v>
      </x:c>
      <x:c r="C21" s="31" t="str">
        <x:v>EVI-004-04</x:v>
      </x:c>
      <x:c r="D21" s="31" t="str">
        <x:v>网络证据</x:v>
      </x:c>
      <x:c r="E21" s="31" t="str">
        <x:v>LogAudit</x:v>
      </x:c>
      <x:c r="F21" s="31" t="str">
        <x:v>IP-004-SHARED</x:v>
      </x:c>
      <x:c r="G21" s="31" t="str">
        <x:v>上传IP</x:v>
      </x:c>
      <x:c r="H21" s="31" t="str">
        <x:v>172.18.*.66</x:v>
      </x:c>
      <x:c r="I21" s="69" t="n">
        <x:v>46172.04513888889</x:v>
      </x:c>
      <x:c r="J21" s="31" t="str">
        <x:v>有效</x:v>
      </x:c>
      <x:c r="K21" s="31" t="str">
        <x:v>sha256:004d****</x:v>
      </x:c>
      <x:c r="L21" s="31" t="str">
        <x:v>共同IP</x:v>
      </x:c>
    </x:row>
    <x:row r="22">
      <x:c r="A22" s="31" t="str">
        <x:v>WA-DEMO-004</x:v>
      </x:c>
      <x:c r="B22" s="31" t="str">
        <x:v>CASE-004</x:v>
      </x:c>
      <x:c r="C22" s="31" t="str">
        <x:v>EVI-004-05</x:v>
      </x:c>
      <x:c r="D22" s="31" t="str">
        <x:v>设备证据</x:v>
      </x:c>
      <x:c r="E22" s="31" t="str">
        <x:v>LogAudit</x:v>
      </x:c>
      <x:c r="F22" s="31" t="str">
        <x:v>DEV-004-SHARED</x:v>
      </x:c>
      <x:c r="G22" s="31" t="str">
        <x:v>设备指纹</x:v>
      </x:c>
      <x:c r="H22" s="31" t="str">
        <x:v>DEV-9C08-****</x:v>
      </x:c>
      <x:c r="I22" s="69" t="n">
        <x:v>46172.04513888889</x:v>
      </x:c>
      <x:c r="J22" s="31" t="str">
        <x:v>有效</x:v>
      </x:c>
      <x:c r="K22" s="31" t="str">
        <x:v>sha256:004e****</x:v>
      </x:c>
      <x:c r="L22" s="31" t="str">
        <x:v>共同设备</x:v>
      </x:c>
    </x:row>
    <x:row r="23">
      <x:c r="A23" s="31" t="str">
        <x:v>WA-DEMO-004</x:v>
      </x:c>
      <x:c r="B23" s="31" t="str">
        <x:v>CASE-004</x:v>
      </x:c>
      <x:c r="C23" s="31" t="str">
        <x:v>EVI-004-06</x:v>
      </x:c>
      <x:c r="D23" s="31" t="str">
        <x:v>保证金证据</x:v>
      </x:c>
      <x:c r="E23" s="31" t="str">
        <x:v>Treasury</x:v>
      </x:c>
      <x:c r="F23" s="31" t="str">
        <x:v>BA-GUAR-001</x:v>
      </x:c>
      <x:c r="G23" s="31" t="str">
        <x:v>保证金来源账户</x:v>
      </x:c>
      <x:c r="H23" s="31" t="str">
        <x:v>6222****3819</x:v>
      </x:c>
      <x:c r="I23" s="69" t="n">
        <x:v>46172.04513888889</x:v>
      </x:c>
      <x:c r="J23" s="31" t="str">
        <x:v>有效</x:v>
      </x:c>
      <x:c r="K23" s="31" t="str">
        <x:v>sha256:004f****</x:v>
      </x:c>
      <x:c r="L23" s="31" t="str">
        <x:v>三家保证金同源</x:v>
      </x:c>
    </x:row>
    <x:row r="24">
      <x:c r="A24" s="31" t="str">
        <x:v>WA-DEMO-004</x:v>
      </x:c>
      <x:c r="B24" s="31" t="str">
        <x:v>CASE-004</x:v>
      </x:c>
      <x:c r="C24" s="31" t="str">
        <x:v>EVI-004-07</x:v>
      </x:c>
      <x:c r="D24" s="31" t="str">
        <x:v>报价证据</x:v>
      </x:c>
      <x:c r="E24" s="31" t="str">
        <x:v>EProcurement</x:v>
      </x:c>
      <x:c r="F24" s="31" t="str">
        <x:v>BID-004A/B/C</x:v>
      </x:c>
      <x:c r="G24" s="31" t="str">
        <x:v>投标报价</x:v>
      </x:c>
      <x:c r="H24" s="31" t="str">
        <x:v>12,180,000 / 12,210,000 / 12,240,000元</x:v>
      </x:c>
      <x:c r="I24" s="69" t="n">
        <x:v>46172.04513888889</x:v>
      </x:c>
      <x:c r="J24" s="31" t="str">
        <x:v>有效</x:v>
      </x:c>
      <x:c r="K24" s="31" t="str">
        <x:v>sha256:004g****</x:v>
      </x:c>
      <x:c r="L24" s="31" t="str">
        <x:v>等差排列</x:v>
      </x:c>
    </x:row>
    <x:row r="25">
      <x:c r="A25" s="31" t="str">
        <x:v>WA-DEMO-005</x:v>
      </x:c>
      <x:c r="B25" s="31" t="str">
        <x:v>CASE-005</x:v>
      </x:c>
      <x:c r="C25" s="31" t="str">
        <x:v>EVI-005-01</x:v>
      </x:c>
      <x:c r="D25" s="31" t="str">
        <x:v>公告证据</x:v>
      </x:c>
      <x:c r="E25" s="31" t="str">
        <x:v>EProcurement</x:v>
      </x:c>
      <x:c r="F25" s="31" t="str">
        <x:v>ANN-005</x:v>
      </x:c>
      <x:c r="G25" s="31" t="str">
        <x:v>公告发布时间</x:v>
      </x:c>
      <x:c r="H25" s="31" t="str">
        <x:v>2026-06-02 09:00</x:v>
      </x:c>
      <x:c r="I25" s="69" t="n">
        <x:v>46182.04305555556</x:v>
      </x:c>
      <x:c r="J25" s="31" t="str">
        <x:v>有效</x:v>
      </x:c>
      <x:c r="K25" s="31" t="str">
        <x:v>sha256:005a****</x:v>
      </x:c>
      <x:c r="L25" s="31" t="str">
        <x:v>早于预算批复</x:v>
      </x:c>
    </x:row>
    <x:row r="26">
      <x:c r="A26" s="31" t="str">
        <x:v>WA-DEMO-005</x:v>
      </x:c>
      <x:c r="B26" s="31" t="str">
        <x:v>CASE-005</x:v>
      </x:c>
      <x:c r="C26" s="31" t="str">
        <x:v>EVI-005-02</x:v>
      </x:c>
      <x:c r="D26" s="31" t="str">
        <x:v>预算证据</x:v>
      </x:c>
      <x:c r="E26" s="31" t="str">
        <x:v>OA</x:v>
      </x:c>
      <x:c r="F26" s="31" t="str">
        <x:v>BUD-005</x:v>
      </x:c>
      <x:c r="G26" s="31" t="str">
        <x:v>预算批复时间</x:v>
      </x:c>
      <x:c r="H26" s="31" t="str">
        <x:v>2026-06-08 16:00</x:v>
      </x:c>
      <x:c r="I26" s="69" t="n">
        <x:v>46182.04305555556</x:v>
      </x:c>
      <x:c r="J26" s="31" t="str">
        <x:v>有效</x:v>
      </x:c>
      <x:c r="K26" s="31" t="str">
        <x:v>sha256:005b****</x:v>
      </x:c>
      <x:c r="L26" s="31" t="str">
        <x:v>公告后6天批复</x:v>
      </x:c>
    </x:row>
    <x:row r="27">
      <x:c r="A27" s="31" t="str">
        <x:v>WA-DEMO-005</x:v>
      </x:c>
      <x:c r="B27" s="31" t="str">
        <x:v>CASE-005</x:v>
      </x:c>
      <x:c r="C27" s="31" t="str">
        <x:v>EVI-005-03</x:v>
      </x:c>
      <x:c r="D27" s="31" t="str">
        <x:v>投标期证据</x:v>
      </x:c>
      <x:c r="E27" s="31" t="str">
        <x:v>EProcurement</x:v>
      </x:c>
      <x:c r="F27" s="31" t="str">
        <x:v>ANN-005</x:v>
      </x:c>
      <x:c r="G27" s="31" t="str">
        <x:v>公告至截止</x:v>
      </x:c>
      <x:c r="H27" s="31" t="str">
        <x:v>7天</x:v>
      </x:c>
      <x:c r="I27" s="69" t="n">
        <x:v>46182.04305555556</x:v>
      </x:c>
      <x:c r="J27" s="31" t="str">
        <x:v>有效</x:v>
      </x:c>
      <x:c r="K27" s="31" t="str">
        <x:v>sha256:005c****</x:v>
      </x:c>
      <x:c r="L27" s="31" t="str">
        <x:v>低于20天</x:v>
      </x:c>
    </x:row>
    <x:row r="28">
      <x:c r="A28" s="31" t="str">
        <x:v>WA-DEMO-005</x:v>
      </x:c>
      <x:c r="B28" s="31" t="str">
        <x:v>CASE-005</x:v>
      </x:c>
      <x:c r="C28" s="31" t="str">
        <x:v>EVI-005-04</x:v>
      </x:c>
      <x:c r="D28" s="31" t="str">
        <x:v>评审证据</x:v>
      </x:c>
      <x:c r="E28" s="31" t="str">
        <x:v>EProcurement</x:v>
      </x:c>
      <x:c r="F28" s="31" t="str">
        <x:v>PANEL-005</x:v>
      </x:c>
      <x:c r="G28" s="31" t="str">
        <x:v>专家产生方式/抽取记录</x:v>
      </x:c>
      <x:c r="H28" s="31" t="str">
        <x:v>指定/空</x:v>
      </x:c>
      <x:c r="I28" s="69" t="n">
        <x:v>46182.04305555556</x:v>
      </x:c>
      <x:c r="J28" s="31" t="str">
        <x:v>有效</x:v>
      </x:c>
      <x:c r="K28" s="31" t="str">
        <x:v>sha256:005d****</x:v>
      </x:c>
      <x:c r="L28" s="31" t="str">
        <x:v>未留抽取记录</x:v>
      </x:c>
    </x:row>
    <x:row r="29">
      <x:c r="A29" s="31" t="str">
        <x:v>WA-DEMO-006</x:v>
      </x:c>
      <x:c r="B29" s="31" t="str">
        <x:v>CASE-006</x:v>
      </x:c>
      <x:c r="C29" s="31" t="str">
        <x:v>EVI-006-01</x:v>
      </x:c>
      <x:c r="D29" s="31" t="str">
        <x:v>物流证据</x:v>
      </x:c>
      <x:c r="E29" s="31" t="str">
        <x:v>LogisticsPlatform</x:v>
      </x:c>
      <x:c r="F29" s="31" t="str">
        <x:v>LOG-006</x:v>
      </x:c>
      <x:c r="G29" s="31" t="str">
        <x:v>GPS轨迹</x:v>
      </x:c>
      <x:c r="H29" s="31" t="str">
        <x:v>2.4公里</x:v>
      </x:c>
      <x:c r="I29" s="69" t="n">
        <x:v>46203.083333333336</x:v>
      </x:c>
      <x:c r="J29" s="31" t="str">
        <x:v>有效</x:v>
      </x:c>
      <x:c r="K29" s="31" t="str">
        <x:v>sha256:006a****</x:v>
      </x:c>
      <x:c r="L29" s="31" t="str">
        <x:v>与南京至北京运输明显不符</x:v>
      </x:c>
    </x:row>
    <x:row r="30">
      <x:c r="A30" s="31" t="str">
        <x:v>WA-DEMO-006</x:v>
      </x:c>
      <x:c r="B30" s="31" t="str">
        <x:v>CASE-006</x:v>
      </x:c>
      <x:c r="C30" s="31" t="str">
        <x:v>EVI-006-02</x:v>
      </x:c>
      <x:c r="D30" s="31" t="str">
        <x:v>收货证据</x:v>
      </x:c>
      <x:c r="E30" s="31" t="str">
        <x:v>WMS</x:v>
      </x:c>
      <x:c r="F30" s="31" t="str">
        <x:v>GR-006</x:v>
      </x:c>
      <x:c r="G30" s="31" t="str">
        <x:v>收货状态/来源IP</x:v>
      </x:c>
      <x:c r="H30" s="31" t="str">
        <x:v>异常/221.12.*.90</x:v>
      </x:c>
      <x:c r="I30" s="69" t="n">
        <x:v>46203.083333333336</x:v>
      </x:c>
      <x:c r="J30" s="31" t="str">
        <x:v>有效</x:v>
      </x:c>
      <x:c r="K30" s="31" t="str">
        <x:v>sha256:006b****</x:v>
      </x:c>
      <x:c r="L30" s="31" t="str">
        <x:v>来源IP属于供应商</x:v>
      </x:c>
    </x:row>
    <x:row r="31">
      <x:c r="A31" s="31" t="str">
        <x:v>WA-DEMO-006</x:v>
      </x:c>
      <x:c r="B31" s="31" t="str">
        <x:v>CASE-006</x:v>
      </x:c>
      <x:c r="C31" s="31" t="str">
        <x:v>EVI-006-03</x:v>
      </x:c>
      <x:c r="D31" s="31" t="str">
        <x:v>验收证据</x:v>
      </x:c>
      <x:c r="E31" s="31" t="str">
        <x:v>WMS</x:v>
      </x:c>
      <x:c r="F31" s="31" t="str">
        <x:v>INSP-006</x:v>
      </x:c>
      <x:c r="G31" s="31" t="str">
        <x:v>验收状态</x:v>
      </x:c>
      <x:c r="H31" s="31" t="str">
        <x:v>未验收</x:v>
      </x:c>
      <x:c r="I31" s="69" t="n">
        <x:v>46203.083333333336</x:v>
      </x:c>
      <x:c r="J31" s="31" t="str">
        <x:v>有效</x:v>
      </x:c>
      <x:c r="K31" s="31" t="str">
        <x:v>sha256:006c****</x:v>
      </x:c>
      <x:c r="L31" s="31" t="str">
        <x:v>无实物验收材料</x:v>
      </x:c>
    </x:row>
    <x:row r="32">
      <x:c r="A32" s="31" t="str">
        <x:v>WA-DEMO-006</x:v>
      </x:c>
      <x:c r="B32" s="31" t="str">
        <x:v>CASE-006</x:v>
      </x:c>
      <x:c r="C32" s="31" t="str">
        <x:v>EVI-006-04</x:v>
      </x:c>
      <x:c r="D32" s="31" t="str">
        <x:v>资金证据</x:v>
      </x:c>
      <x:c r="E32" s="31" t="str">
        <x:v>BankFlow</x:v>
      </x:c>
      <x:c r="F32" s="31" t="str">
        <x:v>FLOW-006-001</x:v>
      </x:c>
      <x:c r="G32" s="31" t="str">
        <x:v>回流金额/比例</x:v>
      </x:c>
      <x:c r="H32" s="31" t="str">
        <x:v>4,620,000元 / 95.1%</x:v>
      </x:c>
      <x:c r="I32" s="69" t="n">
        <x:v>46203.083333333336</x:v>
      </x:c>
      <x:c r="J32" s="31" t="str">
        <x:v>有效</x:v>
      </x:c>
      <x:c r="K32" s="31" t="str">
        <x:v>sha256:006d****</x:v>
      </x:c>
      <x:c r="L32" s="31" t="str">
        <x:v>付款次日转出</x:v>
      </x:c>
    </x:row>
    <x:row r="33">
      <x:c r="A33" s="31" t="str">
        <x:v>WA-DEMO-006</x:v>
      </x:c>
      <x:c r="B33" s="31" t="str">
        <x:v>CASE-006</x:v>
      </x:c>
      <x:c r="C33" s="31" t="str">
        <x:v>EVI-006-05</x:v>
      </x:c>
      <x:c r="D33" s="31" t="str">
        <x:v>关联主体证据</x:v>
      </x:c>
      <x:c r="E33" s="31" t="str">
        <x:v>MDM</x:v>
      </x:c>
      <x:c r="F33" s="31" t="str">
        <x:v>ORG-AFFIL</x:v>
      </x:c>
      <x:c r="G33" s="31" t="str">
        <x:v>采购方关联企业</x:v>
      </x:c>
      <x:c r="H33" s="31" t="str">
        <x:v>云创技术服务有限公司</x:v>
      </x:c>
      <x:c r="I33" s="69" t="n">
        <x:v>46203.083333333336</x:v>
      </x:c>
      <x:c r="J33" s="31" t="str">
        <x:v>有效</x:v>
      </x:c>
      <x:c r="K33" s="31" t="str">
        <x:v>sha256:006e****</x:v>
      </x:c>
      <x:c r="L33" s="31" t="str">
        <x:v>收款账户归属关联企业</x:v>
      </x:c>
    </x:row>
    <x:row r="34">
      <x:c r="A34" s="31" t="str">
        <x:v>WA-DEMO-007</x:v>
      </x:c>
      <x:c r="B34" s="31" t="str">
        <x:v>CASE-007</x:v>
      </x:c>
      <x:c r="C34" s="31" t="str">
        <x:v>EVI-007-01</x:v>
      </x:c>
      <x:c r="D34" s="31" t="str">
        <x:v>合同变更</x:v>
      </x:c>
      <x:c r="E34" s="31" t="str">
        <x:v>ContractSystem</x:v>
      </x:c>
      <x:c r="F34" s="31" t="str">
        <x:v>CHG-007</x:v>
      </x:c>
      <x:c r="G34" s="31" t="str">
        <x:v>变更金额/比例</x:v>
      </x:c>
      <x:c r="H34" s="31" t="str">
        <x:v>2,550,000元 / 37.8%</x:v>
      </x:c>
      <x:c r="I34" s="69" t="n">
        <x:v>46163.12847222222</x:v>
      </x:c>
      <x:c r="J34" s="31" t="str">
        <x:v>有效</x:v>
      </x:c>
      <x:c r="K34" s="31" t="str">
        <x:v>sha256:007a****</x:v>
      </x:c>
      <x:c r="L34" s="31" t="str">
        <x:v>签约后18天</x:v>
      </x:c>
    </x:row>
    <x:row r="35">
      <x:c r="A35" s="31" t="str">
        <x:v>WA-DEMO-007</x:v>
      </x:c>
      <x:c r="B35" s="31" t="str">
        <x:v>CASE-007</x:v>
      </x:c>
      <x:c r="C35" s="31" t="str">
        <x:v>EVI-007-02</x:v>
      </x:c>
      <x:c r="D35" s="31" t="str">
        <x:v>付款证据</x:v>
      </x:c>
      <x:c r="E35" s="31" t="str">
        <x:v>Treasury</x:v>
      </x:c>
      <x:c r="F35" s="31" t="str">
        <x:v>PAY-007</x:v>
      </x:c>
      <x:c r="G35" s="31" t="str">
        <x:v>累计付款金额/比例</x:v>
      </x:c>
      <x:c r="H35" s="31" t="str">
        <x:v>8,370,000元 / 90%</x:v>
      </x:c>
      <x:c r="I35" s="69" t="n">
        <x:v>46163.12847222222</x:v>
      </x:c>
      <x:c r="J35" s="31" t="str">
        <x:v>有效</x:v>
      </x:c>
      <x:c r="K35" s="31" t="str">
        <x:v>sha256:007b****</x:v>
      </x:c>
      <x:c r="L35" s="31" t="str">
        <x:v>验收前付款</x:v>
      </x:c>
    </x:row>
    <x:row r="36">
      <x:c r="A36" s="31" t="str">
        <x:v>WA-DEMO-007</x:v>
      </x:c>
      <x:c r="B36" s="31" t="str">
        <x:v>CASE-007</x:v>
      </x:c>
      <x:c r="C36" s="31" t="str">
        <x:v>EVI-007-03</x:v>
      </x:c>
      <x:c r="D36" s="31" t="str">
        <x:v>验收证据</x:v>
      </x:c>
      <x:c r="E36" s="31" t="str">
        <x:v>WMS</x:v>
      </x:c>
      <x:c r="F36" s="31" t="str">
        <x:v>INSP-007</x:v>
      </x:c>
      <x:c r="G36" s="31" t="str">
        <x:v>验收状态</x:v>
      </x:c>
      <x:c r="H36" s="31" t="str">
        <x:v>未验收</x:v>
      </x:c>
      <x:c r="I36" s="69" t="n">
        <x:v>46163.12847222222</x:v>
      </x:c>
      <x:c r="J36" s="31" t="str">
        <x:v>有效</x:v>
      </x:c>
      <x:c r="K36" s="31" t="str">
        <x:v>sha256:007c****</x:v>
      </x:c>
      <x:c r="L36" s="31" t="str">
        <x:v>付款时无验收结论</x:v>
      </x:c>
    </x:row>
    <x:row r="37">
      <x:c r="A37" s="32" t="str">
        <x:v>WA-DEMO-007</x:v>
      </x:c>
      <x:c r="B37" s="32" t="str">
        <x:v>CASE-007</x:v>
      </x:c>
      <x:c r="C37" s="32" t="str">
        <x:v>EVI-007-04</x:v>
      </x:c>
      <x:c r="D37" s="32" t="str">
        <x:v>中标证据</x:v>
      </x:c>
      <x:c r="E37" s="32" t="str">
        <x:v>EProcurement</x:v>
      </x:c>
      <x:c r="F37" s="32" t="str">
        <x:v>AWD-007</x:v>
      </x:c>
      <x:c r="G37" s="32" t="str">
        <x:v>中标金额</x:v>
      </x:c>
      <x:c r="H37" s="32" t="str">
        <x:v>6,750,000元</x:v>
      </x:c>
      <x:c r="I37" s="70" t="n">
        <x:v>46163.12847222222</x:v>
      </x:c>
      <x:c r="J37" s="32" t="str">
        <x:v>有效</x:v>
      </x:c>
      <x:c r="K37" s="32" t="str">
        <x:v>sha256:007d****</x:v>
      </x:c>
      <x:c r="L37" s="32" t="str">
        <x:v>与变更后合同9,300,000元对比</x:v>
      </x:c>
    </x:row>
  </x:sheetData>
  <x:mergeCells>
    <x:mergeCell ref="A1:L1"/>
    <x:mergeCell ref="A2:L2"/>
  </x:mergeCells>
  <x:conditionalFormatting sqref="J5:J37">
    <x:cfRule type="containsText" dxfId="9" priority="1" operator="containsText" text="有效"/>
  </x:conditionalFormatting>
  <x:pageMargins left="0.7" right="0.7" top="0.75" bottom="0.75" header="0.3" footer="0.3"/>
  <x:tableParts count="1">
    <x:tablePart xmlns:r="http://schemas.openxmlformats.org/officeDocument/2006/relationships" r:id="Rd7c93974026b4f9b"/>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4" hidden="0" customWidth="1"/>
    <x:col min="4" max="4" width="24" hidden="0" customWidth="1"/>
    <x:col min="5" max="5" width="12" hidden="0" customWidth="1"/>
    <x:col min="6" max="6" width="34" hidden="0" customWidth="1"/>
    <x:col min="7" max="7" width="22" hidden="0" customWidth="1"/>
    <x:col min="8" max="8" width="14" hidden="0" customWidth="1"/>
    <x:col min="9" max="9" width="30" hidden="0" customWidth="1"/>
    <x:col min="10" max="10" width="10" hidden="0" customWidth="1"/>
    <x:col min="11" max="11" width="14" hidden="0" customWidth="1"/>
  </x:cols>
  <x:sheetData>
    <x:row r="1" ht="34" customHeight="1">
      <x:c r="A1" s="4" t="str">
        <x:v>数据源到本体与实例表映射</x:v>
      </x:c>
      <x:c r="B1" s="4"/>
      <x:c r="C1" s="4"/>
      <x:c r="D1" s="4"/>
      <x:c r="E1" s="4"/>
      <x:c r="F1" s="4"/>
      <x:c r="G1" s="4"/>
      <x:c r="H1" s="4"/>
      <x:c r="I1" s="4"/>
      <x:c r="J1" s="4"/>
      <x:c r="K1" s="4"/>
    </x:row>
    <x:row r="2" ht="32" customHeight="1">
      <x:c r="A2" s="8" t="str">
        <x:v>映射覆盖ERP、OA、电子采购、日志、工商、合同、WMS、物流、发票、司库和银行流水；置信度为演示值。</x:v>
      </x:c>
      <x:c r="B2" s="8"/>
      <x:c r="C2" s="8"/>
      <x:c r="D2" s="8"/>
      <x:c r="E2" s="8"/>
      <x:c r="F2" s="8"/>
      <x:c r="G2" s="8"/>
      <x:c r="H2" s="8"/>
      <x:c r="I2" s="8"/>
      <x:c r="J2" s="8"/>
      <x:c r="K2" s="8"/>
    </x:row>
    <x:row r="4" ht="32" customHeight="1">
      <x:c r="A4" s="50" t="str">
        <x:v>数据源ID</x:v>
      </x:c>
      <x:c r="B4" s="51" t="str">
        <x:v>数据源名称</x:v>
      </x:c>
      <x:c r="C4" s="51" t="str">
        <x:v>源表/接口</x:v>
      </x:c>
      <x:c r="D4" s="51" t="str">
        <x:v>源字段</x:v>
      </x:c>
      <x:c r="E4" s="51" t="str">
        <x:v>映射类型</x:v>
      </x:c>
      <x:c r="F4" s="51" t="str">
        <x:v>目标本体编码</x:v>
      </x:c>
      <x:c r="G4" s="51" t="str">
        <x:v>转换规则</x:v>
      </x:c>
      <x:c r="H4" s="51" t="str">
        <x:v>目标层</x:v>
      </x:c>
      <x:c r="I4" s="51" t="str">
        <x:v>建议目标表</x:v>
      </x:c>
      <x:c r="J4" s="51" t="str">
        <x:v>置信度</x:v>
      </x:c>
      <x:c r="K4" s="52" t="str">
        <x:v>映射状态</x:v>
      </x:c>
    </x:row>
    <x:row r="5">
      <x:c r="A5" s="30" t="str">
        <x:v>SRC-ERP</x:v>
      </x:c>
      <x:c r="B5" s="30" t="str">
        <x:v>集团ERP采购视图</x:v>
      </x:c>
      <x:c r="C5" s="30" t="str">
        <x:v>purchase_demand</x:v>
      </x:c>
      <x:c r="D5" s="30" t="str">
        <x:v>demand_id</x:v>
      </x:c>
      <x:c r="E5" s="30" t="str">
        <x:v>属性</x:v>
      </x:c>
      <x:c r="F5" s="30" t="str">
        <x:v>PROC.ProcurementDemand</x:v>
      </x:c>
      <x:c r="G5" s="30" t="str">
        <x:v>TRIM</x:v>
      </x:c>
      <x:c r="H5" s="30" t="str">
        <x:v>图谱实例</x:v>
      </x:c>
      <x:c r="I5" s="30" t="str">
        <x:v>graph_entities</x:v>
      </x:c>
      <x:c r="J5" s="36" t="n">
        <x:v>99</x:v>
      </x:c>
      <x:c r="K5" s="30" t="str">
        <x:v>已校验</x:v>
      </x:c>
    </x:row>
    <x:row r="6">
      <x:c r="A6" s="31" t="str">
        <x:v>SRC-ERP</x:v>
      </x:c>
      <x:c r="B6" s="31" t="str">
        <x:v>集团ERP采购视图</x:v>
      </x:c>
      <x:c r="C6" s="31" t="str">
        <x:v>purchase_demand</x:v>
      </x:c>
      <x:c r="D6" s="31" t="str">
        <x:v>amount</x:v>
      </x:c>
      <x:c r="E6" s="31" t="str">
        <x:v>属性</x:v>
      </x:c>
      <x:c r="F6" s="31" t="str">
        <x:v>PROC.ProcurementDemand.amount</x:v>
      </x:c>
      <x:c r="G6" s="31" t="str">
        <x:v>DECIMAL</x:v>
      </x:c>
      <x:c r="H6" s="31" t="str">
        <x:v>图谱实例</x:v>
      </x:c>
      <x:c r="I6" s="31" t="str">
        <x:v>graph_entities.properties_json</x:v>
      </x:c>
      <x:c r="J6" s="37" t="n">
        <x:v>99</x:v>
      </x:c>
      <x:c r="K6" s="31" t="str">
        <x:v>已校验</x:v>
      </x:c>
    </x:row>
    <x:row r="7">
      <x:c r="A7" s="31" t="str">
        <x:v>SRC-ERP</x:v>
      </x:c>
      <x:c r="B7" s="31" t="str">
        <x:v>集团ERP采购视图</x:v>
      </x:c>
      <x:c r="C7" s="31" t="str">
        <x:v>purchase_plan</x:v>
      </x:c>
      <x:c r="D7" s="31" t="str">
        <x:v>procurement_method</x:v>
      </x:c>
      <x:c r="E7" s="31" t="str">
        <x:v>属性</x:v>
      </x:c>
      <x:c r="F7" s="31" t="str">
        <x:v>PROC.ProcurementPlan.procurement_method</x:v>
      </x:c>
      <x:c r="G7" s="31" t="str">
        <x:v>枚举标准化</x:v>
      </x:c>
      <x:c r="H7" s="31" t="str">
        <x:v>图谱实例</x:v>
      </x:c>
      <x:c r="I7" s="31" t="str">
        <x:v>graph_entities.properties_json</x:v>
      </x:c>
      <x:c r="J7" s="37" t="n">
        <x:v>98</x:v>
      </x:c>
      <x:c r="K7" s="31" t="str">
        <x:v>已校验</x:v>
      </x:c>
    </x:row>
    <x:row r="8">
      <x:c r="A8" s="31" t="str">
        <x:v>SRC-ERP</x:v>
      </x:c>
      <x:c r="B8" s="31" t="str">
        <x:v>集团ERP采购视图</x:v>
      </x:c>
      <x:c r="C8" s="31" t="str">
        <x:v>purchase_project</x:v>
      </x:c>
      <x:c r="D8" s="31" t="str">
        <x:v>project_id</x:v>
      </x:c>
      <x:c r="E8" s="31" t="str">
        <x:v>属性</x:v>
      </x:c>
      <x:c r="F8" s="31" t="str">
        <x:v>PROC.PurchaseProject.project_code</x:v>
      </x:c>
      <x:c r="G8" s="31" t="str">
        <x:v>TRIM</x:v>
      </x:c>
      <x:c r="H8" s="31" t="str">
        <x:v>图谱实例</x:v>
      </x:c>
      <x:c r="I8" s="31" t="str">
        <x:v>graph_entities</x:v>
      </x:c>
      <x:c r="J8" s="37" t="n">
        <x:v>99</x:v>
      </x:c>
      <x:c r="K8" s="31" t="str">
        <x:v>已校验</x:v>
      </x:c>
    </x:row>
    <x:row r="9">
      <x:c r="A9" s="31" t="str">
        <x:v>SRC-ERP</x:v>
      </x:c>
      <x:c r="B9" s="31" t="str">
        <x:v>集团ERP采购视图</x:v>
      </x:c>
      <x:c r="C9" s="31" t="str">
        <x:v>purchase_order</x:v>
      </x:c>
      <x:c r="D9" s="31" t="str">
        <x:v>demand_id</x:v>
      </x:c>
      <x:c r="E9" s="31" t="str">
        <x:v>关系</x:v>
      </x:c>
      <x:c r="F9" s="31" t="str">
        <x:v>PROC.splitFromDemand</x:v>
      </x:c>
      <x:c r="G9" s="31" t="str">
        <x:v>外键转边</x:v>
      </x:c>
      <x:c r="H9" s="31" t="str">
        <x:v>图谱实例</x:v>
      </x:c>
      <x:c r="I9" s="31" t="str">
        <x:v>graph_relations</x:v>
      </x:c>
      <x:c r="J9" s="37" t="n">
        <x:v>96</x:v>
      </x:c>
      <x:c r="K9" s="31" t="str">
        <x:v>待抽样</x:v>
      </x:c>
    </x:row>
    <x:row r="10">
      <x:c r="A10" s="31" t="str">
        <x:v>SRC-OA</x:v>
      </x:c>
      <x:c r="B10" s="31" t="str">
        <x:v>OA审批事件接口</x:v>
      </x:c>
      <x:c r="C10" s="31" t="str">
        <x:v>approval_instance</x:v>
      </x:c>
      <x:c r="D10" s="31" t="str">
        <x:v>approved_at</x:v>
      </x:c>
      <x:c r="E10" s="31" t="str">
        <x:v>事件</x:v>
      </x:c>
      <x:c r="F10" s="31" t="str">
        <x:v>PROC.BudgetApproved</x:v>
      </x:c>
      <x:c r="G10" s="31" t="str">
        <x:v>时间标准化</x:v>
      </x:c>
      <x:c r="H10" s="31" t="str">
        <x:v>业务事件</x:v>
      </x:c>
      <x:c r="I10" s="31" t="str">
        <x:v>graph_events</x:v>
      </x:c>
      <x:c r="J10" s="37" t="n">
        <x:v>99</x:v>
      </x:c>
      <x:c r="K10" s="31" t="str">
        <x:v>已校验</x:v>
      </x:c>
    </x:row>
    <x:row r="11">
      <x:c r="A11" s="31" t="str">
        <x:v>SRC-OA</x:v>
      </x:c>
      <x:c r="B11" s="31" t="str">
        <x:v>OA审批事件接口</x:v>
      </x:c>
      <x:c r="C11" s="31" t="str">
        <x:v>approval_instance</x:v>
      </x:c>
      <x:c r="D11" s="31" t="str">
        <x:v>approval_no</x:v>
      </x:c>
      <x:c r="E11" s="31" t="str">
        <x:v>属性</x:v>
      </x:c>
      <x:c r="F11" s="31" t="str">
        <x:v>PROC.ProcurementPlan.exception_approval_no</x:v>
      </x:c>
      <x:c r="G11" s="31" t="str">
        <x:v>空值归一</x:v>
      </x:c>
      <x:c r="H11" s="31" t="str">
        <x:v>图谱实例</x:v>
      </x:c>
      <x:c r="I11" s="31" t="str">
        <x:v>graph_entities.properties_json</x:v>
      </x:c>
      <x:c r="J11" s="37" t="n">
        <x:v>97</x:v>
      </x:c>
      <x:c r="K11" s="31" t="str">
        <x:v>已校验</x:v>
      </x:c>
    </x:row>
    <x:row r="12">
      <x:c r="A12" s="31" t="str">
        <x:v>SRC-EPR</x:v>
      </x:c>
      <x:c r="B12" s="31" t="str">
        <x:v>电子采购平台</x:v>
      </x:c>
      <x:c r="C12" s="31" t="str">
        <x:v>tender_announcement</x:v>
      </x:c>
      <x:c r="D12" s="31" t="str">
        <x:v>publish_at</x:v>
      </x:c>
      <x:c r="E12" s="31" t="str">
        <x:v>属性</x:v>
      </x:c>
      <x:c r="F12" s="31" t="str">
        <x:v>PROC.TenderAnnouncement.publish_at</x:v>
      </x:c>
      <x:c r="G12" s="31" t="str">
        <x:v>时区+08:00</x:v>
      </x:c>
      <x:c r="H12" s="31" t="str">
        <x:v>图谱实例</x:v>
      </x:c>
      <x:c r="I12" s="31" t="str">
        <x:v>graph_entities.properties_json</x:v>
      </x:c>
      <x:c r="J12" s="37" t="n">
        <x:v>99</x:v>
      </x:c>
      <x:c r="K12" s="31" t="str">
        <x:v>已校验</x:v>
      </x:c>
    </x:row>
    <x:row r="13">
      <x:c r="A13" s="31" t="str">
        <x:v>SRC-EPR</x:v>
      </x:c>
      <x:c r="B13" s="31" t="str">
        <x:v>电子采购平台</x:v>
      </x:c>
      <x:c r="C13" s="31" t="str">
        <x:v>bid</x:v>
      </x:c>
      <x:c r="D13" s="31" t="str">
        <x:v>supplier_id</x:v>
      </x:c>
      <x:c r="E13" s="31" t="str">
        <x:v>关系</x:v>
      </x:c>
      <x:c r="F13" s="31" t="str">
        <x:v>PROC.supplierSubmitsBid</x:v>
      </x:c>
      <x:c r="G13" s="31" t="str">
        <x:v>主体主键映射</x:v>
      </x:c>
      <x:c r="H13" s="31" t="str">
        <x:v>图谱实例</x:v>
      </x:c>
      <x:c r="I13" s="31" t="str">
        <x:v>graph_relations</x:v>
      </x:c>
      <x:c r="J13" s="37" t="n">
        <x:v>99</x:v>
      </x:c>
      <x:c r="K13" s="31" t="str">
        <x:v>已校验</x:v>
      </x:c>
    </x:row>
    <x:row r="14">
      <x:c r="A14" s="31" t="str">
        <x:v>SRC-EPR</x:v>
      </x:c>
      <x:c r="B14" s="31" t="str">
        <x:v>电子采购平台</x:v>
      </x:c>
      <x:c r="C14" s="31" t="str">
        <x:v>bid</x:v>
      </x:c>
      <x:c r="D14" s="31" t="str">
        <x:v>submit_at</x:v>
      </x:c>
      <x:c r="E14" s="31" t="str">
        <x:v>事件</x:v>
      </x:c>
      <x:c r="F14" s="31" t="str">
        <x:v>PROC.BidSubmitted</x:v>
      </x:c>
      <x:c r="G14" s="31" t="str">
        <x:v>时区+08:00</x:v>
      </x:c>
      <x:c r="H14" s="31" t="str">
        <x:v>业务事件</x:v>
      </x:c>
      <x:c r="I14" s="31" t="str">
        <x:v>graph_events</x:v>
      </x:c>
      <x:c r="J14" s="37" t="n">
        <x:v>99</x:v>
      </x:c>
      <x:c r="K14" s="31" t="str">
        <x:v>已校验</x:v>
      </x:c>
    </x:row>
    <x:row r="15">
      <x:c r="A15" s="31" t="str">
        <x:v>SRC-EPR</x:v>
      </x:c>
      <x:c r="B15" s="31" t="str">
        <x:v>电子采购平台</x:v>
      </x:c>
      <x:c r="C15" s="31" t="str">
        <x:v>bid_document</x:v>
      </x:c>
      <x:c r="D15" s="31" t="str">
        <x:v>file_hash</x:v>
      </x:c>
      <x:c r="E15" s="31" t="str">
        <x:v>属性</x:v>
      </x:c>
      <x:c r="F15" s="31" t="str">
        <x:v>PROC.BidDocument.file_hash</x:v>
      </x:c>
      <x:c r="G15" s="31" t="str">
        <x:v>SHA256</x:v>
      </x:c>
      <x:c r="H15" s="31" t="str">
        <x:v>图谱实例</x:v>
      </x:c>
      <x:c r="I15" s="31" t="str">
        <x:v>graph_entities.properties_json</x:v>
      </x:c>
      <x:c r="J15" s="37" t="n">
        <x:v>100</x:v>
      </x:c>
      <x:c r="K15" s="31" t="str">
        <x:v>已校验</x:v>
      </x:c>
    </x:row>
    <x:row r="16">
      <x:c r="A16" s="31" t="str">
        <x:v>SRC-LOG</x:v>
      </x:c>
      <x:c r="B16" s="31" t="str">
        <x:v>操作日志平台</x:v>
      </x:c>
      <x:c r="C16" s="31" t="str">
        <x:v>upload_log</x:v>
      </x:c>
      <x:c r="D16" s="31" t="str">
        <x:v>client_ip</x:v>
      </x:c>
      <x:c r="E16" s="31" t="str">
        <x:v>属性</x:v>
      </x:c>
      <x:c r="F16" s="31" t="str">
        <x:v>PROC.IPAddress.ip_masked</x:v>
      </x:c>
      <x:c r="G16" s="31" t="str">
        <x:v>IP脱敏</x:v>
      </x:c>
      <x:c r="H16" s="31" t="str">
        <x:v>图谱实例</x:v>
      </x:c>
      <x:c r="I16" s="31" t="str">
        <x:v>graph_entities</x:v>
      </x:c>
      <x:c r="J16" s="37" t="n">
        <x:v>95</x:v>
      </x:c>
      <x:c r="K16" s="31" t="str">
        <x:v>待抽样</x:v>
      </x:c>
    </x:row>
    <x:row r="17">
      <x:c r="A17" s="31" t="str">
        <x:v>SRC-LOG</x:v>
      </x:c>
      <x:c r="B17" s="31" t="str">
        <x:v>操作日志平台</x:v>
      </x:c>
      <x:c r="C17" s="31" t="str">
        <x:v>upload_log</x:v>
      </x:c>
      <x:c r="D17" s="31" t="str">
        <x:v>device_fingerprint</x:v>
      </x:c>
      <x:c r="E17" s="31" t="str">
        <x:v>关系</x:v>
      </x:c>
      <x:c r="F17" s="31" t="str">
        <x:v>PROC.documentCreatedOnDevice</x:v>
      </x:c>
      <x:c r="G17" s="31" t="str">
        <x:v>设备指纹归一</x:v>
      </x:c>
      <x:c r="H17" s="31" t="str">
        <x:v>图谱实例</x:v>
      </x:c>
      <x:c r="I17" s="31" t="str">
        <x:v>graph_relations</x:v>
      </x:c>
      <x:c r="J17" s="37" t="n">
        <x:v>94</x:v>
      </x:c>
      <x:c r="K17" s="31" t="str">
        <x:v>待抽样</x:v>
      </x:c>
    </x:row>
    <x:row r="18">
      <x:c r="A18" s="31" t="str">
        <x:v>SRC-EXT</x:v>
      </x:c>
      <x:c r="B18" s="31" t="str">
        <x:v>工商司法外部数据</x:v>
      </x:c>
      <x:c r="C18" s="31" t="str">
        <x:v>enterprise_control</x:v>
      </x:c>
      <x:c r="D18" s="31" t="str">
        <x:v>controller_person_id</x:v>
      </x:c>
      <x:c r="E18" s="31" t="str">
        <x:v>关系</x:v>
      </x:c>
      <x:c r="F18" s="31" t="str">
        <x:v>PROC.personControlsSupplier</x:v>
      </x:c>
      <x:c r="G18" s="31" t="str">
        <x:v>主体消歧</x:v>
      </x:c>
      <x:c r="H18" s="31" t="str">
        <x:v>图谱实例</x:v>
      </x:c>
      <x:c r="I18" s="31" t="str">
        <x:v>graph_relations</x:v>
      </x:c>
      <x:c r="J18" s="37" t="n">
        <x:v>92</x:v>
      </x:c>
      <x:c r="K18" s="31" t="str">
        <x:v>待人工确认</x:v>
      </x:c>
    </x:row>
    <x:row r="19">
      <x:c r="A19" s="31" t="str">
        <x:v>SRC-CONTRACT</x:v>
      </x:c>
      <x:c r="B19" s="31" t="str">
        <x:v>合同管理系统</x:v>
      </x:c>
      <x:c r="C19" s="31" t="str">
        <x:v>contract</x:v>
      </x:c>
      <x:c r="D19" s="31" t="str">
        <x:v>contract_amount</x:v>
      </x:c>
      <x:c r="E19" s="31" t="str">
        <x:v>属性</x:v>
      </x:c>
      <x:c r="F19" s="31" t="str">
        <x:v>PROC.Contract.contract_amount</x:v>
      </x:c>
      <x:c r="G19" s="31" t="str">
        <x:v>DECIMAL</x:v>
      </x:c>
      <x:c r="H19" s="31" t="str">
        <x:v>图谱实例</x:v>
      </x:c>
      <x:c r="I19" s="31" t="str">
        <x:v>graph_entities.properties_json</x:v>
      </x:c>
      <x:c r="J19" s="37" t="n">
        <x:v>99</x:v>
      </x:c>
      <x:c r="K19" s="31" t="str">
        <x:v>已校验</x:v>
      </x:c>
    </x:row>
    <x:row r="20">
      <x:c r="A20" s="31" t="str">
        <x:v>SRC-CONTRACT</x:v>
      </x:c>
      <x:c r="B20" s="31" t="str">
        <x:v>合同管理系统</x:v>
      </x:c>
      <x:c r="C20" s="31" t="str">
        <x:v>contract_change</x:v>
      </x:c>
      <x:c r="D20" s="31" t="str">
        <x:v>change_amount</x:v>
      </x:c>
      <x:c r="E20" s="31" t="str">
        <x:v>事件</x:v>
      </x:c>
      <x:c r="F20" s="31" t="str">
        <x:v>PROC.ContractChanged</x:v>
      </x:c>
      <x:c r="G20" s="31" t="str">
        <x:v>金额归一</x:v>
      </x:c>
      <x:c r="H20" s="31" t="str">
        <x:v>业务事件</x:v>
      </x:c>
      <x:c r="I20" s="31" t="str">
        <x:v>graph_events</x:v>
      </x:c>
      <x:c r="J20" s="37" t="n">
        <x:v>99</x:v>
      </x:c>
      <x:c r="K20" s="31" t="str">
        <x:v>已校验</x:v>
      </x:c>
    </x:row>
    <x:row r="21">
      <x:c r="A21" s="31" t="str">
        <x:v>SRC-WMS</x:v>
      </x:c>
      <x:c r="B21" s="31" t="str">
        <x:v>仓储管理系统</x:v>
      </x:c>
      <x:c r="C21" s="31" t="str">
        <x:v>goods_receipt</x:v>
      </x:c>
      <x:c r="D21" s="31" t="str">
        <x:v>receipt_status</x:v>
      </x:c>
      <x:c r="E21" s="31" t="str">
        <x:v>属性</x:v>
      </x:c>
      <x:c r="F21" s="31" t="str">
        <x:v>PROC.GoodsReceipt.receipt_status</x:v>
      </x:c>
      <x:c r="G21" s="31" t="str">
        <x:v>枚举标准化</x:v>
      </x:c>
      <x:c r="H21" s="31" t="str">
        <x:v>图谱实例</x:v>
      </x:c>
      <x:c r="I21" s="31" t="str">
        <x:v>graph_entities.properties_json</x:v>
      </x:c>
      <x:c r="J21" s="37" t="n">
        <x:v>98</x:v>
      </x:c>
      <x:c r="K21" s="31" t="str">
        <x:v>已校验</x:v>
      </x:c>
    </x:row>
    <x:row r="22">
      <x:c r="A22" s="31" t="str">
        <x:v>SRC-WMS</x:v>
      </x:c>
      <x:c r="B22" s="31" t="str">
        <x:v>仓储管理系统</x:v>
      </x:c>
      <x:c r="C22" s="31" t="str">
        <x:v>inspection</x:v>
      </x:c>
      <x:c r="D22" s="31" t="str">
        <x:v>inspection_status</x:v>
      </x:c>
      <x:c r="E22" s="31" t="str">
        <x:v>事件</x:v>
      </x:c>
      <x:c r="F22" s="31" t="str">
        <x:v>PROC.InspectionAccepted</x:v>
      </x:c>
      <x:c r="G22" s="31" t="str">
        <x:v>状态映射</x:v>
      </x:c>
      <x:c r="H22" s="31" t="str">
        <x:v>业务事件</x:v>
      </x:c>
      <x:c r="I22" s="31" t="str">
        <x:v>graph_events</x:v>
      </x:c>
      <x:c r="J22" s="37" t="n">
        <x:v>98</x:v>
      </x:c>
      <x:c r="K22" s="31" t="str">
        <x:v>已校验</x:v>
      </x:c>
    </x:row>
    <x:row r="23">
      <x:c r="A23" s="31" t="str">
        <x:v>SRC-LOGISTICS</x:v>
      </x:c>
      <x:c r="B23" s="31" t="str">
        <x:v>物流轨迹平台</x:v>
      </x:c>
      <x:c r="C23" s="31" t="str">
        <x:v>transport</x:v>
      </x:c>
      <x:c r="D23" s="31" t="str">
        <x:v>gps_distance</x:v>
      </x:c>
      <x:c r="E23" s="31" t="str">
        <x:v>属性</x:v>
      </x:c>
      <x:c r="F23" s="31" t="str">
        <x:v>PROC.LogisticsRecord.gps_distance</x:v>
      </x:c>
      <x:c r="G23" s="31" t="str">
        <x:v>公里归一</x:v>
      </x:c>
      <x:c r="H23" s="31" t="str">
        <x:v>图谱实例</x:v>
      </x:c>
      <x:c r="I23" s="31" t="str">
        <x:v>graph_entities.properties_json</x:v>
      </x:c>
      <x:c r="J23" s="37" t="n">
        <x:v>96</x:v>
      </x:c>
      <x:c r="K23" s="31" t="str">
        <x:v>待抽样</x:v>
      </x:c>
    </x:row>
    <x:row r="24">
      <x:c r="A24" s="31" t="str">
        <x:v>SRC-INVOICE</x:v>
      </x:c>
      <x:c r="B24" s="31" t="str">
        <x:v>电子发票平台</x:v>
      </x:c>
      <x:c r="C24" s="31" t="str">
        <x:v>invoice</x:v>
      </x:c>
      <x:c r="D24" s="31" t="str">
        <x:v>invoice_code</x:v>
      </x:c>
      <x:c r="E24" s="31" t="str">
        <x:v>属性</x:v>
      </x:c>
      <x:c r="F24" s="31" t="str">
        <x:v>PROC.Invoice.invoice_code</x:v>
      </x:c>
      <x:c r="G24" s="31" t="str">
        <x:v>去空格</x:v>
      </x:c>
      <x:c r="H24" s="31" t="str">
        <x:v>图谱实例</x:v>
      </x:c>
      <x:c r="I24" s="31" t="str">
        <x:v>graph_entities</x:v>
      </x:c>
      <x:c r="J24" s="37" t="n">
        <x:v>100</x:v>
      </x:c>
      <x:c r="K24" s="31" t="str">
        <x:v>已校验</x:v>
      </x:c>
    </x:row>
    <x:row r="25">
      <x:c r="A25" s="31" t="str">
        <x:v>SRC-TREASURY</x:v>
      </x:c>
      <x:c r="B25" s="31" t="str">
        <x:v>司库付款消息</x:v>
      </x:c>
      <x:c r="C25" s="31" t="str">
        <x:v>payment</x:v>
      </x:c>
      <x:c r="D25" s="31" t="str">
        <x:v>payment_amount</x:v>
      </x:c>
      <x:c r="E25" s="31" t="str">
        <x:v>事件</x:v>
      </x:c>
      <x:c r="F25" s="31" t="str">
        <x:v>PROC.PaymentExecuted</x:v>
      </x:c>
      <x:c r="G25" s="31" t="str">
        <x:v>金额+币种归一</x:v>
      </x:c>
      <x:c r="H25" s="31" t="str">
        <x:v>业务事件</x:v>
      </x:c>
      <x:c r="I25" s="31" t="str">
        <x:v>graph_events</x:v>
      </x:c>
      <x:c r="J25" s="37" t="n">
        <x:v>100</x:v>
      </x:c>
      <x:c r="K25" s="31" t="str">
        <x:v>已校验</x:v>
      </x:c>
    </x:row>
    <x:row r="26">
      <x:c r="A26" s="31" t="str">
        <x:v>SRC-BANK</x:v>
      </x:c>
      <x:c r="B26" s="31" t="str">
        <x:v>银行流水数据</x:v>
      </x:c>
      <x:c r="C26" s="31" t="str">
        <x:v>bank_flow</x:v>
      </x:c>
      <x:c r="D26" s="31" t="str">
        <x:v>counterparty_account</x:v>
      </x:c>
      <x:c r="E26" s="31" t="str">
        <x:v>关系</x:v>
      </x:c>
      <x:c r="F26" s="31" t="str">
        <x:v>PROC.fundsTransferredTo</x:v>
      </x:c>
      <x:c r="G26" s="31" t="str">
        <x:v>账号脱敏+主体映射</x:v>
      </x:c>
      <x:c r="H26" s="31" t="str">
        <x:v>图谱实例</x:v>
      </x:c>
      <x:c r="I26" s="31" t="str">
        <x:v>graph_relations</x:v>
      </x:c>
      <x:c r="J26" s="37" t="n">
        <x:v>93</x:v>
      </x:c>
      <x:c r="K26" s="31" t="str">
        <x:v>待人工确认</x:v>
      </x:c>
    </x:row>
    <x:row r="27">
      <x:c r="A27" s="31" t="str">
        <x:v>SRC-RULE</x:v>
      </x:c>
      <x:c r="B27" s="31" t="str">
        <x:v>规则运行服务</x:v>
      </x:c>
      <x:c r="C27" s="31" t="str">
        <x:v>rule_run_record</x:v>
      </x:c>
      <x:c r="D27" s="31" t="str">
        <x:v>warning_code</x:v>
      </x:c>
      <x:c r="E27" s="31" t="str">
        <x:v>事件</x:v>
      </x:c>
      <x:c r="F27" s="31" t="str">
        <x:v>PROC.WarningGenerated</x:v>
      </x:c>
      <x:c r="G27" s="31" t="str">
        <x:v>直接映射</x:v>
      </x:c>
      <x:c r="H27" s="31" t="str">
        <x:v>风险闭环</x:v>
      </x:c>
      <x:c r="I27" s="31" t="str">
        <x:v>rule_run_records</x:v>
      </x:c>
      <x:c r="J27" s="37" t="n">
        <x:v>100</x:v>
      </x:c>
      <x:c r="K27" s="31" t="str">
        <x:v>可写入</x:v>
      </x:c>
    </x:row>
    <x:row r="28">
      <x:c r="A28" s="31" t="str">
        <x:v>SRC-RULE</x:v>
      </x:c>
      <x:c r="B28" s="31" t="str">
        <x:v>规则运行服务</x:v>
      </x:c>
      <x:c r="C28" s="31" t="str">
        <x:v>warning</x:v>
      </x:c>
      <x:c r="D28" s="31" t="str">
        <x:v>warning_code</x:v>
      </x:c>
      <x:c r="E28" s="31" t="str">
        <x:v>属性</x:v>
      </x:c>
      <x:c r="F28" s="31" t="str">
        <x:v>PROC.RiskWarning</x:v>
      </x:c>
      <x:c r="G28" s="31" t="str">
        <x:v>直接映射</x:v>
      </x:c>
      <x:c r="H28" s="31" t="str">
        <x:v>风险闭环</x:v>
      </x:c>
      <x:c r="I28" s="31" t="str">
        <x:v>risk_warnings</x:v>
      </x:c>
      <x:c r="J28" s="37" t="n">
        <x:v>100</x:v>
      </x:c>
      <x:c r="K28" s="31" t="str">
        <x:v>需新增表</x:v>
      </x:c>
    </x:row>
    <x:row r="29">
      <x:c r="A29" s="32" t="str">
        <x:v>SRC-RULE</x:v>
      </x:c>
      <x:c r="B29" s="32" t="str">
        <x:v>规则运行服务</x:v>
      </x:c>
      <x:c r="C29" s="32" t="str">
        <x:v>evidence</x:v>
      </x:c>
      <x:c r="D29" s="32" t="str">
        <x:v>evidence_id</x:v>
      </x:c>
      <x:c r="E29" s="32" t="str">
        <x:v>属性</x:v>
      </x:c>
      <x:c r="F29" s="32" t="str">
        <x:v>证据链</x:v>
      </x:c>
      <x:c r="G29" s="32" t="str">
        <x:v>直接映射</x:v>
      </x:c>
      <x:c r="H29" s="32" t="str">
        <x:v>风险闭环</x:v>
      </x:c>
      <x:c r="I29" s="32" t="str">
        <x:v>risk_evidence</x:v>
      </x:c>
      <x:c r="J29" s="38" t="n">
        <x:v>100</x:v>
      </x:c>
      <x:c r="K29" s="32" t="str">
        <x:v>需新增表</x:v>
      </x:c>
    </x:row>
  </x:sheetData>
  <x:mergeCells>
    <x:mergeCell ref="A1:K1"/>
    <x:mergeCell ref="A2:K2"/>
  </x:mergeCells>
  <x:pageMargins left="0.7" right="0.7" top="0.75" bottom="0.75" header="0.3" footer="0.3"/>
  <x:tableParts count="1">
    <x:tablePart xmlns:r="http://schemas.openxmlformats.org/officeDocument/2006/relationships" r:id="R6a895ac87bc54914"/>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18" hidden="0" customWidth="1"/>
    <x:col min="4" max="4" width="34" hidden="0" customWidth="1"/>
    <x:col min="5" max="5" width="14" hidden="0" customWidth="1"/>
    <x:col min="6" max="6" width="42" hidden="0" customWidth="1"/>
    <x:col min="7" max="7" width="32" hidden="0" customWidth="1"/>
    <x:col min="8" max="8" width="52" hidden="0" customWidth="1"/>
  </x:cols>
  <x:sheetData>
    <x:row r="1" ht="34" customHeight="1">
      <x:c r="A1" s="4" t="str">
        <x:v>审批后数据库写入建议</x:v>
      </x:c>
      <x:c r="B1" s="4"/>
      <x:c r="C1" s="4"/>
      <x:c r="D1" s="4"/>
      <x:c r="E1" s="4"/>
      <x:c r="F1" s="4"/>
      <x:c r="G1" s="4"/>
      <x:c r="H1" s="4"/>
    </x:row>
    <x:row r="2" ht="32" customHeight="1">
      <x:c r="A2" s="8" t="str">
        <x:v>本轮仅生成审阅数据，不连接数据库写入。建议按序号分层入库，并以独立演示批次支持校验和回滚。</x:v>
      </x:c>
      <x:c r="B2" s="8"/>
      <x:c r="C2" s="8"/>
      <x:c r="D2" s="8"/>
      <x:c r="E2" s="8"/>
      <x:c r="F2" s="8"/>
      <x:c r="G2" s="8"/>
      <x:c r="H2" s="8"/>
    </x:row>
    <x:row r="4" ht="32" customHeight="1">
      <x:c r="A4" s="132" t="str">
        <x:v>顺序</x:v>
      </x:c>
      <x:c r="B4" s="133" t="str">
        <x:v>数据包</x:v>
      </x:c>
      <x:c r="C4" s="133" t="str">
        <x:v>来源工作表</x:v>
      </x:c>
      <x:c r="D4" s="133" t="str">
        <x:v>目标表</x:v>
      </x:c>
      <x:c r="E4" s="133" t="str">
        <x:v>当前状态</x:v>
      </x:c>
      <x:c r="F4" s="133" t="str">
        <x:v>批准后动作</x:v>
      </x:c>
      <x:c r="G4" s="133" t="str">
        <x:v>主键/唯一键</x:v>
      </x:c>
      <x:c r="H4" s="134" t="str">
        <x:v>注意事项</x:v>
      </x:c>
    </x:row>
    <x:row r="5">
      <x:c r="A5" s="36" t="n">
        <x:v>1</x:v>
      </x:c>
      <x:c r="B5" s="30" t="str">
        <x:v>本体版本</x:v>
      </x:c>
      <x:c r="C5" s="30" t="str">
        <x:v>本体定义</x:v>
      </x:c>
      <x:c r="D5" s="30" t="str">
        <x:v>ontologies</x:v>
      </x:c>
      <x:c r="E5" s="30" t="str">
        <x:v>现有表</x:v>
      </x:c>
      <x:c r="F5" s="30" t="str">
        <x:v>新增 ONT-PROC-DEMO v1.0，先校验后发布</x:v>
      </x:c>
      <x:c r="G5" s="30" t="str">
        <x:v>id</x:v>
      </x:c>
      <x:c r="H5" s="30" t="str">
        <x:v>不覆盖现有 ONT-PROC</x:v>
      </x:c>
    </x:row>
    <x:row r="6">
      <x:c r="A6" s="37" t="n">
        <x:v>2</x:v>
      </x:c>
      <x:c r="B6" s="31" t="str">
        <x:v>本体元素</x:v>
      </x:c>
      <x:c r="C6" s="31" t="str">
        <x:v>本体定义</x:v>
      </x:c>
      <x:c r="D6" s="31" t="str">
        <x:v>ontology_elements</x:v>
      </x:c>
      <x:c r="E6" s="31" t="str">
        <x:v>现有表</x:v>
      </x:c>
      <x:c r="F6" s="31" t="str">
        <x:v>批量写入 class/property/relation/event</x:v>
      </x:c>
      <x:c r="G6" s="31" t="str">
        <x:v>ontology_id+element_type+code</x:v>
      </x:c>
      <x:c r="H6" s="31" t="str">
        <x:v>owner_code/target_code按工作表填写</x:v>
      </x:c>
    </x:row>
    <x:row r="7">
      <x:c r="A7" s="37" t="n">
        <x:v>3</x:v>
      </x:c>
      <x:c r="B7" s="31" t="str">
        <x:v>数据源</x:v>
      </x:c>
      <x:c r="C7" s="31" t="str">
        <x:v>数据源映射</x:v>
      </x:c>
      <x:c r="D7" s="31" t="str">
        <x:v>data_sources</x:v>
      </x:c>
      <x:c r="E7" s="31" t="str">
        <x:v>现有表</x:v>
      </x:c>
      <x:c r="F7" s="31" t="str">
        <x:v>补充电子采购、日志、合同、WMS、物流、发票、银行流水等演示数据源</x:v>
      </x:c>
      <x:c r="G7" s="31" t="str">
        <x:v>id</x:v>
      </x:c>
      <x:c r="H7" s="31" t="str">
        <x:v>避免改动现有生产演示源</x:v>
      </x:c>
    </x:row>
    <x:row r="8">
      <x:c r="A8" s="37" t="n">
        <x:v>4</x:v>
      </x:c>
      <x:c r="B8" s="31" t="str">
        <x:v>语义映射</x:v>
      </x:c>
      <x:c r="C8" s="31" t="str">
        <x:v>数据源映射</x:v>
      </x:c>
      <x:c r="D8" s="31" t="str">
        <x:v>semantic_mappings / semantic_mapping_sets</x:v>
      </x:c>
      <x:c r="E8" s="31" t="str">
        <x:v>现有表</x:v>
      </x:c>
      <x:c r="F8" s="31" t="str">
        <x:v>按映射行生成并执行校验</x:v>
      </x:c>
      <x:c r="G8" s="31" t="str">
        <x:v>source_id+ontology_id+field+target</x:v>
      </x:c>
      <x:c r="H8" s="31" t="str">
        <x:v>置信度低于95的关系需人工确认</x:v>
      </x:c>
    </x:row>
    <x:row r="9">
      <x:c r="A9" s="37" t="n">
        <x:v>5</x:v>
      </x:c>
      <x:c r="B9" s="31" t="str">
        <x:v>图谱版本</x:v>
      </x:c>
      <x:c r="C9" s="31" t="str">
        <x:v>图谱版本</x:v>
      </x:c>
      <x:c r="D9" s="31" t="str">
        <x:v>graph_versions</x:v>
      </x:c>
      <x:c r="E9" s="31" t="str">
        <x:v>现有表</x:v>
      </x:c>
      <x:c r="F9" s="31" t="str">
        <x:v>新增 GRAPH-PROC-DEMO-20260720.1 并发布</x:v>
      </x:c>
      <x:c r="G9" s="31" t="str">
        <x:v>id</x:v>
      </x:c>
      <x:c r="H9" s="31" t="str">
        <x:v>绑定 ONT-PROC-DEMO</x:v>
      </x:c>
    </x:row>
    <x:row r="10">
      <x:c r="A10" s="37" t="n">
        <x:v>6</x:v>
      </x:c>
      <x:c r="B10" s="31" t="str">
        <x:v>图谱节点实例</x:v>
      </x:c>
      <x:c r="C10" s="31" t="str">
        <x:v>图谱节点</x:v>
      </x:c>
      <x:c r="D10" s="31" t="str">
        <x:v>graph_entities</x:v>
      </x:c>
      <x:c r="E10" s="31" t="str">
        <x:v>建议新增</x:v>
      </x:c>
      <x:c r="F10" s="31" t="str">
        <x:v>创建实例表并批量写入</x:v>
      </x:c>
      <x:c r="G10" s="31" t="str">
        <x:v>graph_id+entity_id</x:v>
      </x:c>
      <x:c r="H10" s="31" t="str">
        <x:v>当前项目仅有图谱版本元数据，无节点实例表</x:v>
      </x:c>
    </x:row>
    <x:row r="11">
      <x:c r="A11" s="37" t="n">
        <x:v>7</x:v>
      </x:c>
      <x:c r="B11" s="31" t="str">
        <x:v>图谱关系实例</x:v>
      </x:c>
      <x:c r="C11" s="31" t="str">
        <x:v>图谱关系</x:v>
      </x:c>
      <x:c r="D11" s="31" t="str">
        <x:v>graph_relations</x:v>
      </x:c>
      <x:c r="E11" s="31" t="str">
        <x:v>建议新增</x:v>
      </x:c>
      <x:c r="F11" s="31" t="str">
        <x:v>创建关系表并校验起终点存在</x:v>
      </x:c>
      <x:c r="G11" s="31" t="str">
        <x:v>graph_id+relation_id</x:v>
      </x:c>
      <x:c r="H11" s="31" t="str">
        <x:v>保留置信度、有效期、来源记录和证据ID</x:v>
      </x:c>
    </x:row>
    <x:row r="12">
      <x:c r="A12" s="37" t="n">
        <x:v>8</x:v>
      </x:c>
      <x:c r="B12" s="31" t="str">
        <x:v>业务事件实例</x:v>
      </x:c>
      <x:c r="C12" s="31" t="str">
        <x:v>业务事件</x:v>
      </x:c>
      <x:c r="D12" s="31" t="str">
        <x:v>graph_events</x:v>
      </x:c>
      <x:c r="E12" s="31" t="str">
        <x:v>建议新增</x:v>
      </x:c>
      <x:c r="F12" s="31" t="str">
        <x:v>创建事件表并建立 object_id/event_time 索引</x:v>
      </x:c>
      <x:c r="G12" s="31" t="str">
        <x:v>graph_id+event_id</x:v>
      </x:c>
      <x:c r="H12" s="31" t="str">
        <x:v>支撑时序和聚合规则</x:v>
      </x:c>
    </x:row>
    <x:row r="13">
      <x:c r="A13" s="37" t="n">
        <x:v>9</x:v>
      </x:c>
      <x:c r="B13" s="31" t="str">
        <x:v>风险场景</x:v>
      </x:c>
      <x:c r="C13" s="31" t="str">
        <x:v>风险场景</x:v>
      </x:c>
      <x:c r="D13" s="31" t="str">
        <x:v>risk_scenes / scene_versions</x:v>
      </x:c>
      <x:c r="E13" s="31" t="str">
        <x:v>现有表</x:v>
      </x:c>
      <x:c r="F13" s="31" t="str">
        <x:v>写入7个场景及已发布版本</x:v>
      </x:c>
      <x:c r="G13" s="31" t="str">
        <x:v>scene_id/version</x:v>
      </x:c>
      <x:c r="H13" s="31" t="str">
        <x:v>先确保本体和图谱均已发布</x:v>
      </x:c>
    </x:row>
    <x:row r="14">
      <x:c r="A14" s="37" t="n">
        <x:v>10</x:v>
      </x:c>
      <x:c r="B14" s="31" t="str">
        <x:v>规则资产</x:v>
      </x:c>
      <x:c r="C14" s="31" t="str">
        <x:v>风险规则</x:v>
      </x:c>
      <x:c r="D14" s="31" t="str">
        <x:v>rule_assets / rule_asset_versions</x:v>
      </x:c>
      <x:c r="E14" s="31" t="str">
        <x:v>现有表</x:v>
      </x:c>
      <x:c r="F14" s="31" t="str">
        <x:v>写入14条规则资产与版本</x:v>
      </x:c>
      <x:c r="G14" s="31" t="str">
        <x:v>rule_id/version</x:v>
      </x:c>
      <x:c r="H14" s="31" t="str">
        <x:v>JSON字段按现有结构写入</x:v>
      </x:c>
    </x:row>
    <x:row r="15">
      <x:c r="A15" s="37" t="n">
        <x:v>11</x:v>
      </x:c>
      <x:c r="B15" s="31" t="str">
        <x:v>场景规则绑定</x:v>
      </x:c>
      <x:c r="C15" s="31" t="str">
        <x:v>场景规则绑定</x:v>
      </x:c>
      <x:c r="D15" s="31" t="str">
        <x:v>scene_rule_bindings</x:v>
      </x:c>
      <x:c r="E15" s="31" t="str">
        <x:v>现有表</x:v>
      </x:c>
      <x:c r="F15" s="31" t="str">
        <x:v>绑定场景版本与规则版本</x:v>
      </x:c>
      <x:c r="G15" s="31" t="str">
        <x:v>scene_version_id+rule_version_id</x:v>
      </x:c>
      <x:c r="H15" s="31" t="str">
        <x:v>规则发布前先试跑</x:v>
      </x:c>
    </x:row>
    <x:row r="16">
      <x:c r="A16" s="37" t="n">
        <x:v>12</x:v>
      </x:c>
      <x:c r="B16" s="31" t="str">
        <x:v>规则执行记录</x:v>
      </x:c>
      <x:c r="C16" s="31" t="str">
        <x:v>规则执行</x:v>
      </x:c>
      <x:c r="D16" s="31" t="str">
        <x:v>rule_run_records</x:v>
      </x:c>
      <x:c r="E16" s="31" t="str">
        <x:v>现有表</x:v>
      </x:c>
      <x:c r="F16" s="31" t="str">
        <x:v>写入14命中+4未命中演示记录</x:v>
      </x:c>
      <x:c r="G16" s="31" t="str">
        <x:v>id</x:v>
      </x:c>
      <x:c r="H16" s="31" t="str">
        <x:v>warning_code为空表示未命中</x:v>
      </x:c>
    </x:row>
    <x:row r="17">
      <x:c r="A17" s="37" t="n">
        <x:v>13</x:v>
      </x:c>
      <x:c r="B17" s="31" t="str">
        <x:v>预警结果</x:v>
      </x:c>
      <x:c r="C17" s="31" t="str">
        <x:v>预警结果</x:v>
      </x:c>
      <x:c r="D17" s="31" t="str">
        <x:v>risk_warnings</x:v>
      </x:c>
      <x:c r="E17" s="31" t="str">
        <x:v>建议新增</x:v>
      </x:c>
      <x:c r="F17" s="31" t="str">
        <x:v>创建预警主表并写入7条预警</x:v>
      </x:c>
      <x:c r="G17" s="31" t="str">
        <x:v>warning_code</x:v>
      </x:c>
      <x:c r="H17" s="31" t="str">
        <x:v>前端当前预警主要来自静态数据</x:v>
      </x:c>
    </x:row>
    <x:row r="18">
      <x:c r="A18" s="37" t="n">
        <x:v>14</x:v>
      </x:c>
      <x:c r="B18" s="31" t="str">
        <x:v>预警证据</x:v>
      </x:c>
      <x:c r="C18" s="31" t="str">
        <x:v>证据链</x:v>
      </x:c>
      <x:c r="D18" s="31" t="str">
        <x:v>risk_evidence</x:v>
      </x:c>
      <x:c r="E18" s="31" t="str">
        <x:v>建议新增</x:v>
      </x:c>
      <x:c r="F18" s="31" t="str">
        <x:v>创建证据表并写入33条证据</x:v>
      </x:c>
      <x:c r="G18" s="31" t="str">
        <x:v>evidence_id</x:v>
      </x:c>
      <x:c r="H18" s="31" t="str">
        <x:v>证据哈希、来源、采集时间不可缺失</x:v>
      </x:c>
    </x:row>
    <x:row r="19">
      <x:c r="A19" s="38" t="n">
        <x:v>15</x:v>
      </x:c>
      <x:c r="B19" s="32" t="str">
        <x:v>事务与回滚</x:v>
      </x:c>
      <x:c r="C19" s="32" t="str">
        <x:v>全部</x:v>
      </x:c>
      <x:c r="D19" s="32" t="str">
        <x:v>演示批次控制表</x:v>
      </x:c>
      <x:c r="E19" s="32" t="str">
        <x:v>建议新增</x:v>
      </x:c>
      <x:c r="F19" s="32" t="str">
        <x:v>以 DEMO-PROC-20260720 为批次，整批提交或整批回滚</x:v>
      </x:c>
      <x:c r="G19" s="32" t="str">
        <x:v>batch_id</x:v>
      </x:c>
      <x:c r="H19" s="32" t="str">
        <x:v>用户确认后再执行，当前未写库</x:v>
      </x:c>
    </x:row>
    <x:row r="20">
      <x:c r="A20" t="n">
        <x:v>16</x:v>
      </x:c>
      <x:c r="B20" t="str">
        <x:v>风险模式目录</x:v>
      </x:c>
      <x:c r="C20" t="str">
        <x:v>风险模式库</x:v>
      </x:c>
      <x:c r="D20" t="str">
        <x:v>risk_pattern_catalog</x:v>
      </x:c>
      <x:c r="E20" t="str">
        <x:v>建议新增</x:v>
      </x:c>
      <x:c r="F20" t="str">
        <x:v>写入53项模式、类目、阶段、规则类型、数据依赖和准备度</x:v>
      </x:c>
      <x:c r="G20" t="str">
        <x:v>pattern_code</x:v>
      </x:c>
      <x:c r="H20" t="str">
        <x:v>模式目录与已发布场景、规则资产分层管理</x:v>
      </x:c>
    </x:row>
    <x:row r="21">
      <x:c r="A21" t="n">
        <x:v>17</x:v>
      </x:c>
      <x:c r="B21" t="str">
        <x:v>模式案例包</x:v>
      </x:c>
      <x:c r="C21" t="str">
        <x:v>模式案例映射</x:v>
      </x:c>
      <x:c r="D21" t="str">
        <x:v>risk_pattern_demo_packages</x:v>
      </x:c>
      <x:c r="E21" t="str">
        <x:v>建议新增</x:v>
      </x:c>
      <x:c r="F21" t="str">
        <x:v>写入6个演示案例包及补数计划</x:v>
      </x:c>
      <x:c r="G21" t="str">
        <x:v>package_id</x:v>
      </x:c>
      <x:c r="H21" t="str">
        <x:v>同一模式仅指定一个主案例包，可扩展多对多绑定</x:v>
      </x:c>
    </x:row>
    <x:row r="22">
      <x:c r="A22" t="n">
        <x:v>18</x:v>
      </x:c>
      <x:c r="B22" t="str">
        <x:v>模式场景绑定</x:v>
      </x:c>
      <x:c r="C22" t="str">
        <x:v>风险模式库 / 风险场景</x:v>
      </x:c>
      <x:c r="D22" t="str">
        <x:v>risk_pattern_scene_bindings</x:v>
      </x:c>
      <x:c r="E22" t="str">
        <x:v>建议新增</x:v>
      </x:c>
      <x:c r="F22" t="str">
        <x:v>建立模式与场景版本的多对多绑定</x:v>
      </x:c>
      <x:c r="G22" t="str">
        <x:v>pattern_code+scene_version_id</x:v>
      </x:c>
      <x:c r="H22" t="str">
        <x:v>未落地模式允许暂不绑定已发布场景</x:v>
      </x:c>
    </x:row>
    <x:row r="23">
      <x:c r="A23" t="n">
        <x:v>19</x:v>
      </x:c>
      <x:c r="B23" t="str">
        <x:v>模式规则绑定</x:v>
      </x:c>
      <x:c r="C23" t="str">
        <x:v>风险模式库 / 风险规则</x:v>
      </x:c>
      <x:c r="D23" t="str">
        <x:v>risk_pattern_rule_bindings</x:v>
      </x:c>
      <x:c r="E23" t="str">
        <x:v>建议新增</x:v>
      </x:c>
      <x:c r="F23" t="str">
        <x:v>建立模式与规则版本的多对多绑定</x:v>
      </x:c>
      <x:c r="G23" t="str">
        <x:v>pattern_code+rule_version_id</x:v>
      </x:c>
      <x:c r="H23" t="str">
        <x:v>支持一个模式由多条规则组合实现</x:v>
      </x:c>
    </x:row>
    <x:row r="24">
      <x:c r="A24" t="n">
        <x:v>20</x:v>
      </x:c>
      <x:c r="B24" t="str">
        <x:v>外部数据快照</x:v>
      </x:c>
      <x:c r="C24" t="str">
        <x:v>风险模式库</x:v>
      </x:c>
      <x:c r="D24" t="str">
        <x:v>external_risk_data_snapshots</x:v>
      </x:c>
      <x:c r="E24" t="str">
        <x:v>建议新增</x:v>
      </x:c>
      <x:c r="F24" t="str">
        <x:v>保存工商司法、舆情、交易所名单等取数批次与原始快照</x:v>
      </x:c>
      <x:c r="G24" t="str">
        <x:v>source_id+subject_id+snapshot_at</x:v>
      </x:c>
      <x:c r="H24" t="str">
        <x:v>避免只保存命中结论而缺少来源证据</x:v>
      </x:c>
    </x:row>
    <x:row r="25">
      <x:c r="A25" t="n">
        <x:v>21</x:v>
      </x:c>
      <x:c r="B25" t="str">
        <x:v>案例包详情</x:v>
      </x:c>
      <x:c r="C25" t="str">
        <x:v>案例包详情</x:v>
      </x:c>
      <x:c r="D25" t="str">
        <x:v>risk_demo_case_packages</x:v>
      </x:c>
      <x:c r="E25" t="str">
        <x:v>建议新增</x:v>
      </x:c>
      <x:c r="F25" t="str">
        <x:v>写入案例包故事线、演示步骤、验收标准和状态</x:v>
      </x:c>
      <x:c r="G25" t="str">
        <x:v>package_id</x:v>
      </x:c>
      <x:c r="H25" t="str">
        <x:v>与风险模式目录分层管理</x:v>
      </x:c>
    </x:row>
    <x:row r="26">
      <x:c r="A26" t="n">
        <x:v>22</x:v>
      </x:c>
      <x:c r="B26" t="str">
        <x:v>案例包规则映射</x:v>
      </x:c>
      <x:c r="C26" t="str">
        <x:v>案例包规则映射</x:v>
      </x:c>
      <x:c r="D26" t="str">
        <x:v>risk_pattern_rule_drafts</x:v>
      </x:c>
      <x:c r="E26" t="str">
        <x:v>建议新增</x:v>
      </x:c>
      <x:c r="F26" t="str">
        <x:v>保存14项模式的规则草案、实际值和证据引用</x:v>
      </x:c>
      <x:c r="G26" t="str">
        <x:v>package_id+pattern_code</x:v>
      </x:c>
      <x:c r="H26" t="str">
        <x:v>评审通过后再转换为rule_asset_versions</x:v>
      </x:c>
    </x:row>
    <x:row r="27">
      <x:c r="A27" t="n">
        <x:v>23</x:v>
      </x:c>
      <x:c r="B27" t="str">
        <x:v>智能评标结果</x:v>
      </x:c>
      <x:c r="C27" t="str">
        <x:v>智能评标结果</x:v>
      </x:c>
      <x:c r="D27" t="str">
        <x:v>bid_evaluation_results</x:v>
      </x:c>
      <x:c r="E27" t="str">
        <x:v>建议新增</x:v>
      </x:c>
      <x:c r="F27" t="str">
        <x:v>保存评分输入、风险分、评级和合作建议</x:v>
      </x:c>
      <x:c r="G27" t="str">
        <x:v>bid_id+evaluation_version</x:v>
      </x:c>
      <x:c r="H27" t="str">
        <x:v>保留模型版本、解释项和人工采纳结论</x:v>
      </x:c>
    </x:row>
    <x:row r="28">
      <x:c r="A28" t="n">
        <x:v>24</x:v>
      </x:c>
      <x:c r="B28" t="str">
        <x:v>循环贸易补充明细</x:v>
      </x:c>
      <x:c r="C28" t="str">
        <x:v>循环贸易明细</x:v>
      </x:c>
      <x:c r="D28" t="str">
        <x:v>trade_demo_transactions</x:v>
      </x:c>
      <x:c r="E28" t="str">
        <x:v>建议新增</x:v>
      </x:c>
      <x:c r="F28" t="str">
        <x:v>保存采销合同、应收预付和收付款演示明细</x:v>
      </x:c>
      <x:c r="G28" t="str">
        <x:v>business_id</x:v>
      </x:c>
      <x:c r="H28" t="str">
        <x:v>正式入库时拆分进入合同、财务和资金实例表</x:v>
      </x:c>
    </x:row>
  </x:sheetData>
  <x:mergeCells>
    <x:mergeCell ref="A1:H1"/>
    <x:mergeCell ref="A2:H2"/>
  </x:mergeCells>
  <x:pageMargins left="0.7" right="0.7" top="0.75" bottom="0.75" header="0.3" footer="0.3"/>
  <x:tableParts count="1">
    <x:tablePart xmlns:r="http://schemas.openxmlformats.org/officeDocument/2006/relationships" r:id="R35bb65d559714da4"/>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6" hidden="0" customWidth="1"/>
    <x:col min="2" max="2" width="10" hidden="0" customWidth="1"/>
    <x:col min="3" max="3" width="30" hidden="0" customWidth="1"/>
    <x:col min="4" max="4" width="66" hidden="0" customWidth="1"/>
    <x:col min="5" max="5" width="10" hidden="0" customWidth="1"/>
    <x:col min="6" max="6" width="14" hidden="0" customWidth="1"/>
    <x:col min="7" max="7" width="22" hidden="0" customWidth="1"/>
    <x:col min="8" max="8" width="32" hidden="0" customWidth="1"/>
    <x:col min="9" max="9" width="44" hidden="0" customWidth="1"/>
    <x:col min="10" max="10" width="16" hidden="0" customWidth="1"/>
    <x:col min="11" max="11" width="28" hidden="0" customWidth="1"/>
    <x:col min="12" max="12" width="12" hidden="0" customWidth="1"/>
    <x:col min="13" max="13" width="26" hidden="0" customWidth="1"/>
    <x:col min="14" max="14" width="10" hidden="0" customWidth="1"/>
    <x:col min="15" max="15" width="38" hidden="0" customWidth="1"/>
  </x:cols>
  <x:sheetData>
    <x:row r="1" ht="34" customHeight="1">
      <x:c r="A1" s="211" t="str">
        <x:v>采购、供应链与贸易风险模式资产库</x:v>
      </x:c>
      <x:c r="B1" s="211"/>
      <x:c r="C1" s="211"/>
      <x:c r="D1" s="211"/>
      <x:c r="E1" s="211"/>
      <x:c r="F1" s="211"/>
      <x:c r="G1" s="211"/>
      <x:c r="H1" s="211"/>
      <x:c r="I1" s="211"/>
      <x:c r="J1" s="211"/>
      <x:c r="K1" s="211"/>
      <x:c r="L1" s="211"/>
      <x:c r="M1" s="211"/>
      <x:c r="N1" s="211"/>
      <x:c r="O1" s="211"/>
    </x:row>
    <x:row r="2" ht="34" customHeight="1">
      <x:c r="A2" s="215" t="str">
        <x:v>共53项模式。模式库用于描述风险能力目录，不代表53项均已完成规则配置；“准备度”用于区分当前演示已覆盖、部分覆盖和仍需补充的数据。</x:v>
      </x:c>
      <x:c r="B2" s="215"/>
      <x:c r="C2" s="215"/>
      <x:c r="D2" s="215"/>
      <x:c r="E2" s="215"/>
      <x:c r="F2" s="215"/>
      <x:c r="G2" s="215"/>
      <x:c r="H2" s="215"/>
      <x:c r="I2" s="215"/>
      <x:c r="J2" s="215"/>
      <x:c r="K2" s="215"/>
      <x:c r="L2" s="215"/>
      <x:c r="M2" s="215"/>
      <x:c r="N2" s="215"/>
      <x:c r="O2" s="215"/>
    </x:row>
    <x:row r="4" ht="34" customHeight="1">
      <x:c r="A4" s="227" t="str">
        <x:v>模式类目</x:v>
      </x:c>
      <x:c r="B4" s="228" t="str">
        <x:v>编号</x:v>
      </x:c>
      <x:c r="C4" s="228" t="str">
        <x:v>模式名称</x:v>
      </x:c>
      <x:c r="D4" s="228" t="str">
        <x:v>模式说明</x:v>
      </x:c>
      <x:c r="E4" s="228" t="str">
        <x:v>阶段</x:v>
      </x:c>
      <x:c r="F4" s="228" t="str">
        <x:v>规则类型</x:v>
      </x:c>
      <x:c r="G4" s="228" t="str">
        <x:v>核心对象</x:v>
      </x:c>
      <x:c r="H4" s="228" t="str">
        <x:v>关键阈值/判断</x:v>
      </x:c>
      <x:c r="I4" s="228" t="str">
        <x:v>主要数据源</x:v>
      </x:c>
      <x:c r="J4" s="228" t="str">
        <x:v>准备度</x:v>
      </x:c>
      <x:c r="K4" s="228" t="str">
        <x:v>当前案例映射</x:v>
      </x:c>
      <x:c r="L4" s="228" t="str">
        <x:v>推荐案例包</x:v>
      </x:c>
      <x:c r="M4" s="228" t="str">
        <x:v>建议场景编码</x:v>
      </x:c>
      <x:c r="N4" s="228" t="str">
        <x:v>优先级</x:v>
      </x:c>
      <x:c r="O4" s="229" t="str">
        <x:v>后续入库方式</x:v>
      </x:c>
    </x:row>
    <x:row r="5" ht="42" customHeight="1">
      <x:c r="A5" s="30" t="str">
        <x:v>贸易背景异常识别</x:v>
      </x:c>
      <x:c r="B5" s="30" t="str">
        <x:v>101</x:v>
      </x:c>
      <x:c r="C5" s="30" t="str">
        <x:v>跨单位同标的收支合同检测</x:v>
      </x:c>
      <x:c r="D5" s="30" t="str">
        <x:v>智能比对不同交易主体的收支合同，自动识别标的物名称、规格高度雷同的双向交易行为，精准预警跨主体对倒、无真实货物流转的空转循环贸易风险，防范虚构营收的违规贸易场景。</x:v>
      </x:c>
      <x:c r="E5" s="30" t="str">
        <x:v>事后</x:v>
      </x:c>
      <x:c r="F5" s="30" t="str">
        <x:v>高级表达式</x:v>
      </x:c>
      <x:c r="G5" s="30" t="str">
        <x:v>合同/供应商</x:v>
      </x:c>
      <x:c r="H5" s="30" t="str">
        <x:v>关系、属性或业务时序组合判断</x:v>
      </x:c>
      <x:c r="I5" s="30" t="str">
        <x:v>ERP合同、销售系统、工商股权、组织人员主数据</x:v>
      </x:c>
      <x:c r="J5" s="30" t="str">
        <x:v>当前已覆盖</x:v>
      </x:c>
      <x:c r="K5" s="30" t="str">
        <x:v>CASE-006（跨单位收支合同已补）</x:v>
      </x:c>
      <x:c r="L5" s="30" t="str">
        <x:v>PKG-01</x:v>
      </x:c>
      <x:c r="M5" s="30" t="str">
        <x:v>SCENE-TRADE-CYCLE</x:v>
      </x:c>
      <x:c r="N5" s="30" t="str">
        <x:v>P0</x:v>
      </x:c>
      <x:c r="O5" s="30" t="str">
        <x:v>案例包数据已补齐，可生成正式规则版本和试跑任务</x:v>
      </x:c>
    </x:row>
    <x:row r="6" ht="42" customHeight="1">
      <x:c r="A6" s="31" t="str">
        <x:v>贸易背景异常识别</x:v>
      </x:c>
      <x:c r="B6" s="31" t="str">
        <x:v>102</x:v>
      </x:c>
      <x:c r="C6" s="31" t="str">
        <x:v>投标比价单位交叉持股关联检测</x:v>
      </x:c>
      <x:c r="D6" s="31" t="str">
        <x:v>联动工商股权与关联图谱数据，自动核查比价、投标、谈判参与单位间的母子、交叉持股等关联关系，识别围标、串标、定向合作等违规场景，规避关联交易不公允及利益输送风险。</x:v>
      </x:c>
      <x:c r="E6" s="31" t="str">
        <x:v>事中</x:v>
      </x:c>
      <x:c r="F6" s="31" t="str">
        <x:v>关系路径</x:v>
      </x:c>
      <x:c r="G6" s="31" t="str">
        <x:v>合同/供应商</x:v>
      </x:c>
      <x:c r="H6" s="31" t="str">
        <x:v>关系、属性或业务时序组合判断</x:v>
      </x:c>
      <x:c r="I6" s="31" t="str">
        <x:v>ERP合同、销售系统、工商股权、组织人员主数据</x:v>
      </x:c>
      <x:c r="J6" s="31" t="str">
        <x:v>当前已覆盖</x:v>
      </x:c>
      <x:c r="K6" s="31" t="str">
        <x:v>CASE-004（交叉持股已补）</x:v>
      </x:c>
      <x:c r="L6" s="31" t="str">
        <x:v>PKG-05</x:v>
      </x:c>
      <x:c r="M6" s="31" t="str">
        <x:v>SCENE-COLLUSIVE-BID</x:v>
      </x:c>
      <x:c r="N6" s="31" t="str">
        <x:v>P0</x:v>
      </x:c>
      <x:c r="O6" s="31" t="str">
        <x:v>案例包数据已补齐，可生成正式规则版本和试跑任务</x:v>
      </x:c>
    </x:row>
    <x:row r="7" ht="42" customHeight="1">
      <x:c r="A7" s="31" t="str">
        <x:v>贸易背景异常识别</x:v>
      </x:c>
      <x:c r="B7" s="31" t="str">
        <x:v>103</x:v>
      </x:c>
      <x:c r="C7" s="31" t="str">
        <x:v>同主体同标的收支合同检测</x:v>
      </x:c>
      <x:c r="D7" s="31" t="str">
        <x:v>针对同一经营主体的收支合同开展智能校验，快速筛查同标的物、同规格的双向交易行为，识别企业内部自循环、空转走单、虚构账面流水等无商业实质的虚假贸易行为。</x:v>
      </x:c>
      <x:c r="E7" s="31" t="str">
        <x:v>事后</x:v>
      </x:c>
      <x:c r="F7" s="31" t="str">
        <x:v>高级表达式</x:v>
      </x:c>
      <x:c r="G7" s="31" t="str">
        <x:v>合同/供应商</x:v>
      </x:c>
      <x:c r="H7" s="31" t="str">
        <x:v>关系、属性或业务时序组合判断</x:v>
      </x:c>
      <x:c r="I7" s="31" t="str">
        <x:v>ERP合同、销售系统、工商股权、组织人员主数据</x:v>
      </x:c>
      <x:c r="J7" s="31" t="str">
        <x:v>当前已覆盖</x:v>
      </x:c>
      <x:c r="K7" s="31" t="str">
        <x:v>CASE-006（同主体采销已补）</x:v>
      </x:c>
      <x:c r="L7" s="31" t="str">
        <x:v>PKG-01</x:v>
      </x:c>
      <x:c r="M7" s="31" t="str">
        <x:v>SCENE-TRADE-CYCLE</x:v>
      </x:c>
      <x:c r="N7" s="31" t="str">
        <x:v>P0</x:v>
      </x:c>
      <x:c r="O7" s="31" t="str">
        <x:v>案例包数据已补齐，可生成正式规则版本和试跑任务</x:v>
      </x:c>
    </x:row>
    <x:row r="8" ht="42" customHeight="1">
      <x:c r="A8" s="31" t="str">
        <x:v>贸易背景异常识别</x:v>
      </x:c>
      <x:c r="B8" s="31" t="str">
        <x:v>104</x:v>
      </x:c>
      <x:c r="C8" s="31" t="str">
        <x:v>供应商法定代表人关联检测</x:v>
      </x:c>
      <x:c r="D8" s="31" t="str">
        <x:v>依托工商信息库，智能比对供应商法定代表人与甲方人员的关联关系，精准排查隐性关联合作隐患，防范借助法人关联开展违规贸易、利益输送的问题，实现事前风险预警。</x:v>
      </x:c>
      <x:c r="E8" s="31" t="str">
        <x:v>事前</x:v>
      </x:c>
      <x:c r="F8" s="31" t="str">
        <x:v>关系路径</x:v>
      </x:c>
      <x:c r="G8" s="31" t="str">
        <x:v>合同/供应商</x:v>
      </x:c>
      <x:c r="H8" s="31" t="str">
        <x:v>关系、属性或业务时序组合判断</x:v>
      </x:c>
      <x:c r="I8" s="31" t="str">
        <x:v>ERP合同、销售系统、工商股权、组织人员主数据</x:v>
      </x:c>
      <x:c r="J8" s="31" t="str">
        <x:v>当前已覆盖</x:v>
      </x:c>
      <x:c r="K8" s="31" t="str">
        <x:v>CASE-004（法人兼任甲方顾问）</x:v>
      </x:c>
      <x:c r="L8" s="31" t="str">
        <x:v>PKG-02</x:v>
      </x:c>
      <x:c r="M8" s="31" t="str">
        <x:v>SCENE-COUNTERPARTY</x:v>
      </x:c>
      <x:c r="N8" s="31" t="str">
        <x:v>P1</x:v>
      </x:c>
      <x:c r="O8" s="31" t="str">
        <x:v>案例包数据已补齐，可生成正式规则版本和试跑任务</x:v>
      </x:c>
    </x:row>
    <x:row r="9" ht="42" customHeight="1">
      <x:c r="A9" s="31" t="str">
        <x:v>贸易背景异常识别</x:v>
      </x:c>
      <x:c r="B9" s="31" t="str">
        <x:v>105</x:v>
      </x:c>
      <x:c r="C9" s="31" t="str">
        <x:v>供应商自然人股东关联检测</x:v>
      </x:c>
      <x:c r="D9" s="31" t="str">
        <x:v>通过股权穿透分析，深挖供应商自然人股东底层关联链路，智能识别其与甲方的隐性利益关联，精准发现隐蔽性关联贸易风险，封堵传统核查盲区，严防隐性关联违规交易。</x:v>
      </x:c>
      <x:c r="E9" s="31" t="str">
        <x:v>事前</x:v>
      </x:c>
      <x:c r="F9" s="31" t="str">
        <x:v>关系路径</x:v>
      </x:c>
      <x:c r="G9" s="31" t="str">
        <x:v>合同/供应商</x:v>
      </x:c>
      <x:c r="H9" s="31" t="str">
        <x:v>关系、属性或业务时序组合判断</x:v>
      </x:c>
      <x:c r="I9" s="31" t="str">
        <x:v>ERP合同、销售系统、工商股权、组织人员主数据</x:v>
      </x:c>
      <x:c r="J9" s="31" t="str">
        <x:v>当前已覆盖</x:v>
      </x:c>
      <x:c r="K9" s="31" t="str">
        <x:v>CASE-004（自然人股东已补）</x:v>
      </x:c>
      <x:c r="L9" s="31" t="str">
        <x:v>PKG-02</x:v>
      </x:c>
      <x:c r="M9" s="31" t="str">
        <x:v>SCENE-COUNTERPARTY</x:v>
      </x:c>
      <x:c r="N9" s="31" t="str">
        <x:v>P1</x:v>
      </x:c>
      <x:c r="O9" s="31" t="str">
        <x:v>案例包数据已补齐，可生成正式规则版本和试跑任务</x:v>
      </x:c>
    </x:row>
    <x:row r="10" ht="42" customHeight="1">
      <x:c r="A10" s="31" t="str">
        <x:v>贸易背景异常识别</x:v>
      </x:c>
      <x:c r="B10" s="31" t="str">
        <x:v>106</x:v>
      </x:c>
      <x:c r="C10" s="31" t="str">
        <x:v>供应商高管人员关联检测</x:v>
      </x:c>
      <x:c r="D10" s="31" t="str">
        <x:v>基于企业任职及人员关联图谱，自动核查供应商高管与甲方人员的利益关联关系，甄别高管隐性关联合作场景，杜绝非公允贸易及变相利益输送，完善关联交易全维度风控。</x:v>
      </x:c>
      <x:c r="E10" s="31" t="str">
        <x:v>事前</x:v>
      </x:c>
      <x:c r="F10" s="31" t="str">
        <x:v>关系路径</x:v>
      </x:c>
      <x:c r="G10" s="31" t="str">
        <x:v>合同/供应商</x:v>
      </x:c>
      <x:c r="H10" s="31" t="str">
        <x:v>关系、属性或业务时序组合判断</x:v>
      </x:c>
      <x:c r="I10" s="31" t="str">
        <x:v>ERP合同、销售系统、工商股权、组织人员主数据</x:v>
      </x:c>
      <x:c r="J10" s="31" t="str">
        <x:v>当前已覆盖</x:v>
      </x:c>
      <x:c r="K10" s="31" t="str">
        <x:v>CASE-004（高管重合已补）</x:v>
      </x:c>
      <x:c r="L10" s="31" t="str">
        <x:v>PKG-02</x:v>
      </x:c>
      <x:c r="M10" s="31" t="str">
        <x:v>SCENE-COUNTERPARTY</x:v>
      </x:c>
      <x:c r="N10" s="31" t="str">
        <x:v>P1</x:v>
      </x:c>
      <x:c r="O10" s="31" t="str">
        <x:v>案例包数据已补齐，可生成正式规则版本和试跑任务</x:v>
      </x:c>
    </x:row>
    <x:row r="11" ht="42" customHeight="1">
      <x:c r="A11" s="31" t="str">
        <x:v>贸易背景异常识别</x:v>
      </x:c>
      <x:c r="B11" s="31" t="str">
        <x:v>107</x:v>
      </x:c>
      <x:c r="C11" s="31" t="str">
        <x:v>非主业违规贸易检测</x:v>
      </x:c>
      <x:c r="D11" s="31" t="str">
        <x:v>结合企业经营范围与集团主业清单，智能校验贸易业务品类与经营领域，自动识别超出核准范围、偏离主业的贸易行为，精准预警非主业经营合规风险，严控违规跨界贸易业务。</x:v>
      </x:c>
      <x:c r="E11" s="31" t="str">
        <x:v>事前</x:v>
      </x:c>
      <x:c r="F11" s="31" t="str">
        <x:v>字段比对</x:v>
      </x:c>
      <x:c r="G11" s="31" t="str">
        <x:v>合同/供应商</x:v>
      </x:c>
      <x:c r="H11" s="31" t="str">
        <x:v>关系、属性或业务时序组合判断</x:v>
      </x:c>
      <x:c r="I11" s="31" t="str">
        <x:v>ERP合同、销售系统、工商股权、组织人员主数据</x:v>
      </x:c>
      <x:c r="J11" s="31" t="str">
        <x:v>依赖外部数据</x:v>
      </x:c>
      <x:c r="K11" s="31" t="str">
        <x:v>—</x:v>
      </x:c>
      <x:c r="L11" s="31" t="str">
        <x:v>PKG-02</x:v>
      </x:c>
      <x:c r="M11" s="31" t="str">
        <x:v>SCENE-COUNTERPARTY</x:v>
      </x:c>
      <x:c r="N11" s="31" t="str">
        <x:v>P1</x:v>
      </x:c>
      <x:c r="O11" s="31" t="str">
        <x:v>写入风险模式目录，后续绑定场景版本与规则版本</x:v>
      </x:c>
    </x:row>
    <x:row r="12" ht="42" customHeight="1">
      <x:c r="A12" s="31" t="str">
        <x:v>合同订单异常识别</x:v>
      </x:c>
      <x:c r="B12" s="31" t="str">
        <x:v>201</x:v>
      </x:c>
      <x:c r="C12" s="31" t="str">
        <x:v>贸易超低毛利异常检测</x:v>
      </x:c>
      <x:c r="D12" s="31" t="str">
        <x:v>智能核算单笔贸易业务毛利差值，自动识别毛利差低于0.1%的极低毛利交易，精准筛查不符合正常商业盈利逻辑的异常贸易，预警违背交易常识的违规业务风险。</x:v>
      </x:c>
      <x:c r="E12" s="31" t="str">
        <x:v>事中</x:v>
      </x:c>
      <x:c r="F12" s="31" t="str">
        <x:v>聚合</x:v>
      </x:c>
      <x:c r="G12" s="31" t="str">
        <x:v>合同/订单/商品</x:v>
      </x:c>
      <x:c r="H12" s="31" t="str">
        <x:v>毛利率＜0.1%</x:v>
      </x:c>
      <x:c r="I12" s="31" t="str">
        <x:v>ERP采销、合同系统、商品主数据</x:v>
      </x:c>
      <x:c r="J12" s="31" t="str">
        <x:v>待新增内部数据</x:v>
      </x:c>
      <x:c r="K12" s="31" t="str">
        <x:v>—</x:v>
      </x:c>
      <x:c r="L12" s="31" t="str">
        <x:v>PKG-03</x:v>
      </x:c>
      <x:c r="M12" s="31" t="str">
        <x:v>SCENE-PRICE-FINANCE</x:v>
      </x:c>
      <x:c r="N12" s="31" t="str">
        <x:v>P0</x:v>
      </x:c>
      <x:c r="O12" s="31" t="str">
        <x:v>写入风险模式目录，后续绑定场景版本与规则版本</x:v>
      </x:c>
    </x:row>
    <x:row r="13" ht="42" customHeight="1">
      <x:c r="A13" s="31" t="str">
        <x:v>合同订单异常识别</x:v>
      </x:c>
      <x:c r="B13" s="31" t="str">
        <x:v>202</x:v>
      </x:c>
      <x:c r="C13" s="31" t="str">
        <x:v>同货同量小额价差采销检测</x:v>
      </x:c>
      <x:c r="D13" s="31" t="str">
        <x:v>智能匹配全量采销订单，筛查货物品类、交易数量完全一致，合同金额差值低于0.01%的双向采销交易，快速识别无商业实质、纯走账式循环贸易行为。</x:v>
      </x:c>
      <x:c r="E13" s="31" t="str">
        <x:v>事中</x:v>
      </x:c>
      <x:c r="F13" s="31" t="str">
        <x:v>聚合</x:v>
      </x:c>
      <x:c r="G13" s="31" t="str">
        <x:v>合同/订单/商品</x:v>
      </x:c>
      <x:c r="H13" s="31" t="str">
        <x:v>金额差＜0.01%，货物与数量一致</x:v>
      </x:c>
      <x:c r="I13" s="31" t="str">
        <x:v>ERP采销、合同系统、商品主数据</x:v>
      </x:c>
      <x:c r="J13" s="31" t="str">
        <x:v>当前已覆盖</x:v>
      </x:c>
      <x:c r="K13" s="31" t="str">
        <x:v>CASE-006（同货同量价差0.0041%）</x:v>
      </x:c>
      <x:c r="L13" s="31" t="str">
        <x:v>PKG-01</x:v>
      </x:c>
      <x:c r="M13" s="31" t="str">
        <x:v>SCENE-TRADE-CYCLE</x:v>
      </x:c>
      <x:c r="N13" s="31" t="str">
        <x:v>P0</x:v>
      </x:c>
      <x:c r="O13" s="31" t="str">
        <x:v>案例包数据已补齐，可生成正式规则版本和试跑任务</x:v>
      </x:c>
    </x:row>
    <x:row r="14" ht="42" customHeight="1">
      <x:c r="A14" s="31" t="str">
        <x:v>合同订单异常识别</x:v>
      </x:c>
      <x:c r="B14" s="31" t="str">
        <x:v>203</x:v>
      </x:c>
      <x:c r="C14" s="31" t="str">
        <x:v>低价差长账期融资贸易检测</x:v>
      </x:c>
      <x:c r="D14" s="31" t="str">
        <x:v>通过价差与账期双维度联动校验，自动识别购销价差低于0.5%且账期超过90天的交易，精准锁定以贸易为载体、变相提供资金融通的融资性贸易违规场景。</x:v>
      </x:c>
      <x:c r="E14" s="31" t="str">
        <x:v>事中</x:v>
      </x:c>
      <x:c r="F14" s="31" t="str">
        <x:v>时序</x:v>
      </x:c>
      <x:c r="G14" s="31" t="str">
        <x:v>合同/订单/商品</x:v>
      </x:c>
      <x:c r="H14" s="31" t="str">
        <x:v>价差＜0.5%，账期＞90天</x:v>
      </x:c>
      <x:c r="I14" s="31" t="str">
        <x:v>ERP采销、合同系统、商品主数据</x:v>
      </x:c>
      <x:c r="J14" s="31" t="str">
        <x:v>待新增内部数据</x:v>
      </x:c>
      <x:c r="K14" s="31" t="str">
        <x:v>—</x:v>
      </x:c>
      <x:c r="L14" s="31" t="str">
        <x:v>PKG-03</x:v>
      </x:c>
      <x:c r="M14" s="31" t="str">
        <x:v>SCENE-PRICE-FINANCE</x:v>
      </x:c>
      <x:c r="N14" s="31" t="str">
        <x:v>P0</x:v>
      </x:c>
      <x:c r="O14" s="31" t="str">
        <x:v>写入风险模式目录，后续绑定场景版本与规则版本</x:v>
      </x:c>
    </x:row>
    <x:row r="15" ht="42" customHeight="1">
      <x:c r="A15" s="31" t="str">
        <x:v>合同订单异常识别</x:v>
      </x:c>
      <x:c r="B15" s="31" t="str">
        <x:v>204</x:v>
      </x:c>
      <x:c r="C15" s="31" t="str">
        <x:v>短期商品价格突变异常检测</x:v>
      </x:c>
      <x:c r="D15" s="31" t="str">
        <x:v>基于时间维度动态监控交易价格，智能捕捉24小时内同一客户、同一商品单价浮动超±8%的异常波动，筛查无合理商业理由的价格突变交易，预警非常规异常贸易风险。</x:v>
      </x:c>
      <x:c r="E15" s="31" t="str">
        <x:v>事中</x:v>
      </x:c>
      <x:c r="F15" s="31" t="str">
        <x:v>聚合</x:v>
      </x:c>
      <x:c r="G15" s="31" t="str">
        <x:v>合同/订单/商品</x:v>
      </x:c>
      <x:c r="H15" s="31" t="str">
        <x:v>24小时单价波动＞±8%</x:v>
      </x:c>
      <x:c r="I15" s="31" t="str">
        <x:v>ERP采销、合同系统、商品主数据</x:v>
      </x:c>
      <x:c r="J15" s="31" t="str">
        <x:v>待新增内部数据</x:v>
      </x:c>
      <x:c r="K15" s="31" t="str">
        <x:v>—</x:v>
      </x:c>
      <x:c r="L15" s="31" t="str">
        <x:v>PKG-03</x:v>
      </x:c>
      <x:c r="M15" s="31" t="str">
        <x:v>SCENE-PRICE-FINANCE</x:v>
      </x:c>
      <x:c r="N15" s="31" t="str">
        <x:v>P1</x:v>
      </x:c>
      <x:c r="O15" s="31" t="str">
        <x:v>写入风险模式目录，后续绑定场景版本与规则版本</x:v>
      </x:c>
    </x:row>
    <x:row r="16" ht="42" customHeight="1">
      <x:c r="A16" s="31" t="str">
        <x:v>交易对手异常识别</x:v>
      </x:c>
      <x:c r="B16" s="31" t="str">
        <x:v>301</x:v>
      </x:c>
      <x:c r="C16" s="31" t="str">
        <x:v>空壳资本企业风险检测</x:v>
      </x:c>
      <x:c r="D16" s="31" t="str">
        <x:v>校验合作方资本及注册信息，自动识别实缴资本低于1000万元且注册地址为集中托管注册地的企业，筛查疑似空壳交易对手风险。</x:v>
      </x:c>
      <x:c r="E16" s="31" t="str">
        <x:v>事前</x:v>
      </x:c>
      <x:c r="F16" s="31" t="str">
        <x:v>字段比对</x:v>
      </x:c>
      <x:c r="G16" s="31" t="str">
        <x:v>供应商/客户</x:v>
      </x:c>
      <x:c r="H16" s="31" t="str">
        <x:v>实缴资本＜1000万元且集中托管地址</x:v>
      </x:c>
      <x:c r="I16" s="31" t="str">
        <x:v>工商司法、征信舆情、集团黑名单、ERP履约</x:v>
      </x:c>
      <x:c r="J16" s="31" t="str">
        <x:v>部分覆盖</x:v>
      </x:c>
      <x:c r="K16" s="31" t="str">
        <x:v>CASE-003（需补集中注册地址）</x:v>
      </x:c>
      <x:c r="L16" s="31" t="str">
        <x:v>PKG-02</x:v>
      </x:c>
      <x:c r="M16" s="31" t="str">
        <x:v>SCENE-COUNTERPARTY</x:v>
      </x:c>
      <x:c r="N16" s="31" t="str">
        <x:v>P0</x:v>
      </x:c>
      <x:c r="O16" s="31" t="str">
        <x:v>写入风险模式目录，后续绑定场景版本与规则版本</x:v>
      </x:c>
    </x:row>
    <x:row r="17" ht="42" customHeight="1">
      <x:c r="A17" s="31" t="str">
        <x:v>交易对手异常识别</x:v>
      </x:c>
      <x:c r="B17" s="31" t="str">
        <x:v>302</x:v>
      </x:c>
      <x:c r="C17" s="31" t="str">
        <x:v>企业社保空心化检测</x:v>
      </x:c>
      <x:c r="D17" s="31" t="str">
        <x:v>统计近12个月企业社保缴纳均值，自动识别参保人数低于10人的空壳化、无实际经营团队的高危交易主体。</x:v>
      </x:c>
      <x:c r="E17" s="31" t="str">
        <x:v>事前</x:v>
      </x:c>
      <x:c r="F17" s="31" t="str">
        <x:v>聚合</x:v>
      </x:c>
      <x:c r="G17" s="31" t="str">
        <x:v>供应商/客户</x:v>
      </x:c>
      <x:c r="H17" s="31" t="str">
        <x:v>近12个月参保均值＜10人</x:v>
      </x:c>
      <x:c r="I17" s="31" t="str">
        <x:v>工商司法、征信舆情、集团黑名单、ERP履约</x:v>
      </x:c>
      <x:c r="J17" s="31" t="str">
        <x:v>部分覆盖</x:v>
      </x:c>
      <x:c r="K17" s="31" t="str">
        <x:v>CASE-003（需补社保月均）</x:v>
      </x:c>
      <x:c r="L17" s="31" t="str">
        <x:v>PKG-02</x:v>
      </x:c>
      <x:c r="M17" s="31" t="str">
        <x:v>SCENE-COUNTERPARTY</x:v>
      </x:c>
      <x:c r="N17" s="31" t="str">
        <x:v>P0</x:v>
      </x:c>
      <x:c r="O17" s="31" t="str">
        <x:v>写入风险模式目录，后续绑定场景版本与规则版本</x:v>
      </x:c>
    </x:row>
    <x:row r="18" ht="42" customHeight="1">
      <x:c r="A18" s="31" t="str">
        <x:v>交易对手异常识别</x:v>
      </x:c>
      <x:c r="B18" s="31" t="str">
        <x:v>303</x:v>
      </x:c>
      <x:c r="C18" s="31" t="str">
        <x:v>新成立企业风控检测</x:v>
      </x:c>
      <x:c r="D18" s="31" t="str">
        <x:v>校验企业成立时长，识别成立不足180天的新增企业，针对无经营沉淀、抗风险能力弱的新生主体强化交易预警。</x:v>
      </x:c>
      <x:c r="E18" s="31" t="str">
        <x:v>事前</x:v>
      </x:c>
      <x:c r="F18" s="31" t="str">
        <x:v>字段比对</x:v>
      </x:c>
      <x:c r="G18" s="31" t="str">
        <x:v>供应商/客户</x:v>
      </x:c>
      <x:c r="H18" s="31" t="str">
        <x:v>成立不足180天</x:v>
      </x:c>
      <x:c r="I18" s="31" t="str">
        <x:v>工商司法、征信舆情、集团黑名单、ERP履约</x:v>
      </x:c>
      <x:c r="J18" s="31" t="str">
        <x:v>当前已覆盖</x:v>
      </x:c>
      <x:c r="K18" s="31" t="str">
        <x:v>CASE-003</x:v>
      </x:c>
      <x:c r="L18" s="31" t="str">
        <x:v>PKG-02</x:v>
      </x:c>
      <x:c r="M18" s="31" t="str">
        <x:v>SCENE-COUNTERPARTY</x:v>
      </x:c>
      <x:c r="N18" s="31" t="str">
        <x:v>P0</x:v>
      </x:c>
      <x:c r="O18" s="31" t="str">
        <x:v>写入风险模式目录，后续绑定场景版本与规则版本</x:v>
      </x:c>
    </x:row>
    <x:row r="19" ht="42" customHeight="1">
      <x:c r="A19" s="31" t="str">
        <x:v>交易对手异常识别</x:v>
      </x:c>
      <x:c r="B19" s="31" t="str">
        <x:v>304</x:v>
      </x:c>
      <x:c r="C19" s="31" t="str">
        <x:v>企业经营异常名录检测</x:v>
      </x:c>
      <x:c r="D19" s="31" t="str">
        <x:v>对接工商公示数据，实时筛查被市场监管部门列入经营异常名录且未完成移出的企业，拦截存在合规瑕疵的交易对手。</x:v>
      </x:c>
      <x:c r="E19" s="31" t="str">
        <x:v>事前</x:v>
      </x:c>
      <x:c r="F19" s="31" t="str">
        <x:v>字段比对</x:v>
      </x:c>
      <x:c r="G19" s="31" t="str">
        <x:v>供应商/客户</x:v>
      </x:c>
      <x:c r="H19" s="31" t="str">
        <x:v>关系、属性或业务时序组合判断</x:v>
      </x:c>
      <x:c r="I19" s="31" t="str">
        <x:v>工商司法、征信舆情、集团黑名单、ERP履约</x:v>
      </x:c>
      <x:c r="J19" s="31" t="str">
        <x:v>依赖外部数据</x:v>
      </x:c>
      <x:c r="K19" s="31" t="str">
        <x:v>—</x:v>
      </x:c>
      <x:c r="L19" s="31" t="str">
        <x:v>PKG-02</x:v>
      </x:c>
      <x:c r="M19" s="31" t="str">
        <x:v>SCENE-COUNTERPARTY</x:v>
      </x:c>
      <x:c r="N19" s="31" t="str">
        <x:v>P1</x:v>
      </x:c>
      <x:c r="O19" s="31" t="str">
        <x:v>写入风险模式目录，后续绑定场景版本与规则版本</x:v>
      </x:c>
    </x:row>
    <x:row r="20" ht="42" customHeight="1">
      <x:c r="A20" s="31" t="str">
        <x:v>交易对手异常识别</x:v>
      </x:c>
      <x:c r="B20" s="31" t="str">
        <x:v>305</x:v>
      </x:c>
      <x:c r="C20" s="31" t="str">
        <x:v>严重违法失信企业检测</x:v>
      </x:c>
      <x:c r="D20" s="31" t="str">
        <x:v>联动失信公示数据库，精准命中列入严重违法失信名单的企业，对高失信、高违规主体实施交易拦截与风险预警。</x:v>
      </x:c>
      <x:c r="E20" s="31" t="str">
        <x:v>事前</x:v>
      </x:c>
      <x:c r="F20" s="31" t="str">
        <x:v>字段比对</x:v>
      </x:c>
      <x:c r="G20" s="31" t="str">
        <x:v>供应商/客户</x:v>
      </x:c>
      <x:c r="H20" s="31" t="str">
        <x:v>关系、属性或业务时序组合判断</x:v>
      </x:c>
      <x:c r="I20" s="31" t="str">
        <x:v>工商司法、征信舆情、集团黑名单、ERP履约</x:v>
      </x:c>
      <x:c r="J20" s="31" t="str">
        <x:v>依赖外部数据</x:v>
      </x:c>
      <x:c r="K20" s="31" t="str">
        <x:v>—</x:v>
      </x:c>
      <x:c r="L20" s="31" t="str">
        <x:v>PKG-02</x:v>
      </x:c>
      <x:c r="M20" s="31" t="str">
        <x:v>SCENE-COUNTERPARTY</x:v>
      </x:c>
      <x:c r="N20" s="31" t="str">
        <x:v>P1</x:v>
      </x:c>
      <x:c r="O20" s="31" t="str">
        <x:v>写入风险模式目录，后续绑定场景版本与规则版本</x:v>
      </x:c>
    </x:row>
    <x:row r="21" ht="42" customHeight="1">
      <x:c r="A21" s="31" t="str">
        <x:v>交易对手异常识别</x:v>
      </x:c>
      <x:c r="B21" s="31" t="str">
        <x:v>306</x:v>
      </x:c>
      <x:c r="C21" s="31" t="str">
        <x:v>法人失信被执行人检测</x:v>
      </x:c>
      <x:c r="D21" s="31" t="str">
        <x:v>校验企业法定代表人司法征信状态，识别法人为失信被执行人的合作主体，防范核心人员失信带来的贸易合规及履约风险。</x:v>
      </x:c>
      <x:c r="E21" s="31" t="str">
        <x:v>事前</x:v>
      </x:c>
      <x:c r="F21" s="31" t="str">
        <x:v>关系路径</x:v>
      </x:c>
      <x:c r="G21" s="31" t="str">
        <x:v>供应商/客户</x:v>
      </x:c>
      <x:c r="H21" s="31" t="str">
        <x:v>关系、属性或业务时序组合判断</x:v>
      </x:c>
      <x:c r="I21" s="31" t="str">
        <x:v>工商司法、征信舆情、集团黑名单、ERP履约</x:v>
      </x:c>
      <x:c r="J21" s="31" t="str">
        <x:v>依赖外部数据</x:v>
      </x:c>
      <x:c r="K21" s="31" t="str">
        <x:v>—</x:v>
      </x:c>
      <x:c r="L21" s="31" t="str">
        <x:v>PKG-02</x:v>
      </x:c>
      <x:c r="M21" s="31" t="str">
        <x:v>SCENE-COUNTERPARTY</x:v>
      </x:c>
      <x:c r="N21" s="31" t="str">
        <x:v>P1</x:v>
      </x:c>
      <x:c r="O21" s="31" t="str">
        <x:v>写入风险模式目录，后续绑定场景版本与规则版本</x:v>
      </x:c>
    </x:row>
    <x:row r="22" ht="42" customHeight="1">
      <x:c r="A22" s="31" t="str">
        <x:v>交易对手异常识别</x:v>
      </x:c>
      <x:c r="B22" s="31" t="str">
        <x:v>307</x:v>
      </x:c>
      <x:c r="C22" s="31" t="str">
        <x:v>企业名称敏感特征检测</x:v>
      </x:c>
      <x:c r="D22" s="31" t="str">
        <x:v>智能筛查企业名称关键词，命中“融资、托盘、套利、大宗”等高危敏感字段，提前预警疑似套利、融资性贸易合作主体。</x:v>
      </x:c>
      <x:c r="E22" s="31" t="str">
        <x:v>事前</x:v>
      </x:c>
      <x:c r="F22" s="31" t="str">
        <x:v>字段比对</x:v>
      </x:c>
      <x:c r="G22" s="31" t="str">
        <x:v>供应商/客户</x:v>
      </x:c>
      <x:c r="H22" s="31" t="str">
        <x:v>关系、属性或业务时序组合判断</x:v>
      </x:c>
      <x:c r="I22" s="31" t="str">
        <x:v>工商司法、征信舆情、集团黑名单、ERP履约</x:v>
      </x:c>
      <x:c r="J22" s="31" t="str">
        <x:v>待新增内部数据</x:v>
      </x:c>
      <x:c r="K22" s="31" t="str">
        <x:v>—</x:v>
      </x:c>
      <x:c r="L22" s="31" t="str">
        <x:v>PKG-02</x:v>
      </x:c>
      <x:c r="M22" s="31" t="str">
        <x:v>SCENE-COUNTERPARTY</x:v>
      </x:c>
      <x:c r="N22" s="31" t="str">
        <x:v>P1</x:v>
      </x:c>
      <x:c r="O22" s="31" t="str">
        <x:v>写入风险模式目录，后续绑定场景版本与规则版本</x:v>
      </x:c>
    </x:row>
    <x:row r="23" ht="42" customHeight="1">
      <x:c r="A23" s="31" t="str">
        <x:v>交易对手异常识别</x:v>
      </x:c>
      <x:c r="B23" s="31" t="str">
        <x:v>308</x:v>
      </x:c>
      <x:c r="C23" s="31" t="str">
        <x:v>高比例股权质押风险检测</x:v>
      </x:c>
      <x:c r="D23" s="31" t="str">
        <x:v>分析企业股权质押数据，识别质押比例≥80%的高风险企业，预判企业资金承压、经营不稳引发的贸易履约风险。</x:v>
      </x:c>
      <x:c r="E23" s="31" t="str">
        <x:v>事前</x:v>
      </x:c>
      <x:c r="F23" s="31" t="str">
        <x:v>聚合</x:v>
      </x:c>
      <x:c r="G23" s="31" t="str">
        <x:v>供应商/客户</x:v>
      </x:c>
      <x:c r="H23" s="31" t="str">
        <x:v>股权质押比例≥80%</x:v>
      </x:c>
      <x:c r="I23" s="31" t="str">
        <x:v>工商司法、征信舆情、集团黑名单、ERP履约</x:v>
      </x:c>
      <x:c r="J23" s="31" t="str">
        <x:v>依赖外部数据</x:v>
      </x:c>
      <x:c r="K23" s="31" t="str">
        <x:v>—</x:v>
      </x:c>
      <x:c r="L23" s="31" t="str">
        <x:v>PKG-02</x:v>
      </x:c>
      <x:c r="M23" s="31" t="str">
        <x:v>SCENE-COUNTERPARTY</x:v>
      </x:c>
      <x:c r="N23" s="31" t="str">
        <x:v>P1</x:v>
      </x:c>
      <x:c r="O23" s="31" t="str">
        <x:v>写入风险模式目录，后续绑定场景版本与规则版本</x:v>
      </x:c>
    </x:row>
    <x:row r="24" ht="42" customHeight="1">
      <x:c r="A24" s="31" t="str">
        <x:v>交易对手异常识别</x:v>
      </x:c>
      <x:c r="B24" s="31" t="str">
        <x:v>309</x:v>
      </x:c>
      <x:c r="C24" s="31" t="str">
        <x:v>密集司法纠纷风险检测</x:v>
      </x:c>
      <x:c r="D24" s="31" t="str">
        <x:v>统计近12个月企业涉诉数据，识别作为被告的买卖合同纠纷≥5起的主体，筛查履约能力差、纠纷频发的高危交易对手。</x:v>
      </x:c>
      <x:c r="E24" s="31" t="str">
        <x:v>事前</x:v>
      </x:c>
      <x:c r="F24" s="31" t="str">
        <x:v>聚合</x:v>
      </x:c>
      <x:c r="G24" s="31" t="str">
        <x:v>供应商/客户</x:v>
      </x:c>
      <x:c r="H24" s="31" t="str">
        <x:v>近12个月买卖合同纠纷被告≥5起</x:v>
      </x:c>
      <x:c r="I24" s="31" t="str">
        <x:v>工商司法、征信舆情、集团黑名单、ERP履约</x:v>
      </x:c>
      <x:c r="J24" s="31" t="str">
        <x:v>依赖外部数据</x:v>
      </x:c>
      <x:c r="K24" s="31" t="str">
        <x:v>—</x:v>
      </x:c>
      <x:c r="L24" s="31" t="str">
        <x:v>PKG-02</x:v>
      </x:c>
      <x:c r="M24" s="31" t="str">
        <x:v>SCENE-COUNTERPARTY</x:v>
      </x:c>
      <x:c r="N24" s="31" t="str">
        <x:v>P1</x:v>
      </x:c>
      <x:c r="O24" s="31" t="str">
        <x:v>写入风险模式目录，后续绑定场景版本与规则版本</x:v>
      </x:c>
    </x:row>
    <x:row r="25" ht="42" customHeight="1">
      <x:c r="A25" s="31" t="str">
        <x:v>交易对手异常识别</x:v>
      </x:c>
      <x:c r="B25" s="31" t="str">
        <x:v>310</x:v>
      </x:c>
      <x:c r="C25" s="31" t="str">
        <x:v>集团内部黑名单匹配检测</x:v>
      </x:c>
      <x:c r="D25" s="31" t="str">
        <x:v>对接集团内部贸易黑名单库，自动匹配命中黑名单的交易对手，严格落实集团合规管控要求，杜绝违规合作。</x:v>
      </x:c>
      <x:c r="E25" s="31" t="str">
        <x:v>事前</x:v>
      </x:c>
      <x:c r="F25" s="31" t="str">
        <x:v>字段比对</x:v>
      </x:c>
      <x:c r="G25" s="31" t="str">
        <x:v>供应商/客户</x:v>
      </x:c>
      <x:c r="H25" s="31" t="str">
        <x:v>关系、属性或业务时序组合判断</x:v>
      </x:c>
      <x:c r="I25" s="31" t="str">
        <x:v>工商司法、征信舆情、集团黑名单、ERP履约</x:v>
      </x:c>
      <x:c r="J25" s="31" t="str">
        <x:v>待新增内部数据</x:v>
      </x:c>
      <x:c r="K25" s="31" t="str">
        <x:v>—</x:v>
      </x:c>
      <x:c r="L25" s="31" t="str">
        <x:v>PKG-02</x:v>
      </x:c>
      <x:c r="M25" s="31" t="str">
        <x:v>SCENE-COUNTERPARTY</x:v>
      </x:c>
      <x:c r="N25" s="31" t="str">
        <x:v>P1</x:v>
      </x:c>
      <x:c r="O25" s="31" t="str">
        <x:v>写入风险模式目录，后续绑定场景版本与规则版本</x:v>
      </x:c>
    </x:row>
    <x:row r="26" ht="42" customHeight="1">
      <x:c r="A26" s="31" t="str">
        <x:v>交易对手异常识别</x:v>
      </x:c>
      <x:c r="B26" s="31" t="str">
        <x:v>311</x:v>
      </x:c>
      <x:c r="C26" s="31" t="str">
        <x:v>外部企业负面舆情</x:v>
      </x:c>
      <x:c r="D26" s="31" t="str">
        <x:v>抓取主流网站的企业负面信息，智能识别存在重大负面舆情的合作主体，提前规避隐性经营与合规风险。</x:v>
      </x:c>
      <x:c r="E26" s="31" t="str">
        <x:v>事前</x:v>
      </x:c>
      <x:c r="F26" s="31" t="str">
        <x:v>高级表达式</x:v>
      </x:c>
      <x:c r="G26" s="31" t="str">
        <x:v>供应商/客户</x:v>
      </x:c>
      <x:c r="H26" s="31" t="str">
        <x:v>关系、属性或业务时序组合判断</x:v>
      </x:c>
      <x:c r="I26" s="31" t="str">
        <x:v>工商司法、征信舆情、集团黑名单、ERP履约</x:v>
      </x:c>
      <x:c r="J26" s="31" t="str">
        <x:v>依赖外部数据</x:v>
      </x:c>
      <x:c r="K26" s="31" t="str">
        <x:v>—</x:v>
      </x:c>
      <x:c r="L26" s="31" t="str">
        <x:v>PKG-02</x:v>
      </x:c>
      <x:c r="M26" s="31" t="str">
        <x:v>SCENE-COUNTERPARTY</x:v>
      </x:c>
      <x:c r="N26" s="31" t="str">
        <x:v>P2</x:v>
      </x:c>
      <x:c r="O26" s="31" t="str">
        <x:v>写入风险模式目录，后续绑定场景版本与规则版本</x:v>
      </x:c>
    </x:row>
    <x:row r="27" ht="42" customHeight="1">
      <x:c r="A27" s="31" t="str">
        <x:v>交易对手异常识别</x:v>
      </x:c>
      <x:c r="B27" s="31" t="str">
        <x:v>312</x:v>
      </x:c>
      <x:c r="C27" s="31" t="str">
        <x:v>历史长期逾期交易检测</x:v>
      </x:c>
      <x:c r="D27" s="31" t="str">
        <x:v>复盘企业历史交易履约记录，识别存在超30天逾期履约行为的交易对手，严控履约信用不良引发的贸易风险。</x:v>
      </x:c>
      <x:c r="E27" s="31" t="str">
        <x:v>事前</x:v>
      </x:c>
      <x:c r="F27" s="31" t="str">
        <x:v>聚合</x:v>
      </x:c>
      <x:c r="G27" s="31" t="str">
        <x:v>供应商/客户</x:v>
      </x:c>
      <x:c r="H27" s="31" t="str">
        <x:v>历史逾期＞30天</x:v>
      </x:c>
      <x:c r="I27" s="31" t="str">
        <x:v>工商司法、征信舆情、集团黑名单、ERP履约</x:v>
      </x:c>
      <x:c r="J27" s="31" t="str">
        <x:v>待新增内部数据</x:v>
      </x:c>
      <x:c r="K27" s="31" t="str">
        <x:v>—</x:v>
      </x:c>
      <x:c r="L27" s="31" t="str">
        <x:v>PKG-02</x:v>
      </x:c>
      <x:c r="M27" s="31" t="str">
        <x:v>SCENE-COUNTERPARTY</x:v>
      </x:c>
      <x:c r="N27" s="31" t="str">
        <x:v>P1</x:v>
      </x:c>
      <x:c r="O27" s="31" t="str">
        <x:v>写入风险模式目录，后续绑定场景版本与规则版本</x:v>
      </x:c>
    </x:row>
    <x:row r="28" ht="42" customHeight="1">
      <x:c r="A28" s="31" t="str">
        <x:v>上下游交易对手关联关系异常识别</x:v>
      </x:c>
      <x:c r="B28" s="31" t="str">
        <x:v>401</x:v>
      </x:c>
      <x:c r="C28" s="31" t="str">
        <x:v>上下游签约主体同源检测</x:v>
      </x:c>
      <x:c r="D28" s="31" t="str">
        <x:v>智能校验贸易全链条签约数据，精准识别同一经营主体同时作为本次交易上下游签约方的异常场景，排查闭环对冲、自我交易的违规贸易隐患。</x:v>
      </x:c>
      <x:c r="E28" s="31" t="str">
        <x:v>事前</x:v>
      </x:c>
      <x:c r="F28" s="31" t="str">
        <x:v>关系路径</x:v>
      </x:c>
      <x:c r="G28" s="31" t="str">
        <x:v>上下游主体</x:v>
      </x:c>
      <x:c r="H28" s="31" t="str">
        <x:v>关系、属性或业务时序组合判断</x:v>
      </x:c>
      <x:c r="I28" s="31" t="str">
        <x:v>合同系统、工商股权、人员任职、供应商主数据</x:v>
      </x:c>
      <x:c r="J28" s="31" t="str">
        <x:v>当前已覆盖</x:v>
      </x:c>
      <x:c r="K28" s="31" t="str">
        <x:v>CASE-006（上下游主体同源）</x:v>
      </x:c>
      <x:c r="L28" s="31" t="str">
        <x:v>PKG-01</x:v>
      </x:c>
      <x:c r="M28" s="31" t="str">
        <x:v>SCENE-TRADE-CYCLE</x:v>
      </x:c>
      <x:c r="N28" s="31" t="str">
        <x:v>P0</x:v>
      </x:c>
      <x:c r="O28" s="31" t="str">
        <x:v>案例包数据已补齐，可生成正式规则版本和试跑任务</x:v>
      </x:c>
    </x:row>
    <x:row r="29" ht="42" customHeight="1">
      <x:c r="A29" s="31" t="str">
        <x:v>上下游交易对手关联关系异常识别</x:v>
      </x:c>
      <x:c r="B29" s="31" t="str">
        <x:v>402</x:v>
      </x:c>
      <x:c r="C29" s="31" t="str">
        <x:v>关联主体循环贸易检测</x:v>
      </x:c>
      <x:c r="D29" s="31" t="str">
        <x:v>批量遍历企业历史合同，智能筛查相同主体或关联主体反复签订同质化购销合同的行为，精准判定无真实货物流转、纯虚构营收的循环贸易。</x:v>
      </x:c>
      <x:c r="E29" s="31" t="str">
        <x:v>事后</x:v>
      </x:c>
      <x:c r="F29" s="31" t="str">
        <x:v>关系路径</x:v>
      </x:c>
      <x:c r="G29" s="31" t="str">
        <x:v>上下游主体</x:v>
      </x:c>
      <x:c r="H29" s="31" t="str">
        <x:v>关系、属性或业务时序组合判断</x:v>
      </x:c>
      <x:c r="I29" s="31" t="str">
        <x:v>合同系统、工商股权、人员任职、供应商主数据</x:v>
      </x:c>
      <x:c r="J29" s="31" t="str">
        <x:v>待新增内部数据</x:v>
      </x:c>
      <x:c r="K29" s="31" t="str">
        <x:v>—</x:v>
      </x:c>
      <x:c r="L29" s="31" t="str">
        <x:v>PKG-01</x:v>
      </x:c>
      <x:c r="M29" s="31" t="str">
        <x:v>SCENE-TRADE-CYCLE</x:v>
      </x:c>
      <x:c r="N29" s="31" t="str">
        <x:v>P0</x:v>
      </x:c>
      <x:c r="O29" s="31" t="str">
        <x:v>写入风险模式目录，后续绑定场景版本与规则版本</x:v>
      </x:c>
    </x:row>
    <x:row r="30" ht="42" customHeight="1">
      <x:c r="A30" s="31" t="str">
        <x:v>上下游交易对手关联关系异常识别</x:v>
      </x:c>
      <x:c r="B30" s="31" t="str">
        <x:v>403</x:v>
      </x:c>
      <x:c r="C30" s="31" t="str">
        <x:v>上下游投资关联关系检测</x:v>
      </x:c>
      <x:c r="D30" s="31" t="str">
        <x:v>通过股权穿透图谱，自动核查上下游交易企业的投资、控股、交叉持股等关联链路，挖掘隐性投资关联主体，防范关联企业非公允交易及利益输送风险。</x:v>
      </x:c>
      <x:c r="E30" s="31" t="str">
        <x:v>事前</x:v>
      </x:c>
      <x:c r="F30" s="31" t="str">
        <x:v>关系路径</x:v>
      </x:c>
      <x:c r="G30" s="31" t="str">
        <x:v>上下游主体</x:v>
      </x:c>
      <x:c r="H30" s="31" t="str">
        <x:v>关系、属性或业务时序组合判断</x:v>
      </x:c>
      <x:c r="I30" s="31" t="str">
        <x:v>合同系统、工商股权、人员任职、供应商主数据</x:v>
      </x:c>
      <x:c r="J30" s="31" t="str">
        <x:v>部分覆盖</x:v>
      </x:c>
      <x:c r="K30" s="31" t="str">
        <x:v>CASE-004（已有控制关系）</x:v>
      </x:c>
      <x:c r="L30" s="31" t="str">
        <x:v>PKG-02</x:v>
      </x:c>
      <x:c r="M30" s="31" t="str">
        <x:v>SCENE-COUNTERPARTY</x:v>
      </x:c>
      <x:c r="N30" s="31" t="str">
        <x:v>P0</x:v>
      </x:c>
      <x:c r="O30" s="31" t="str">
        <x:v>写入风险模式目录，后续绑定场景版本与规则版本</x:v>
      </x:c>
    </x:row>
    <x:row r="31" ht="42" customHeight="1">
      <x:c r="A31" s="31" t="str">
        <x:v>上下游交易对手关联关系异常识别</x:v>
      </x:c>
      <x:c r="B31" s="31" t="str">
        <x:v>404</x:v>
      </x:c>
      <x:c r="C31" s="31" t="str">
        <x:v>上下游高管人员重合检测</x:v>
      </x:c>
      <x:c r="D31" s="31" t="str">
        <x:v>联动工商任职数据库，比对上下游企业董监事、经营层高管任职信息，快速识别人员重合的关联主体，预警依托人员关联开展的隐性违规贸易。</x:v>
      </x:c>
      <x:c r="E31" s="31" t="str">
        <x:v>事前</x:v>
      </x:c>
      <x:c r="F31" s="31" t="str">
        <x:v>关系路径</x:v>
      </x:c>
      <x:c r="G31" s="31" t="str">
        <x:v>上下游主体</x:v>
      </x:c>
      <x:c r="H31" s="31" t="str">
        <x:v>关系、属性或业务时序组合判断</x:v>
      </x:c>
      <x:c r="I31" s="31" t="str">
        <x:v>合同系统、工商股权、人员任职、供应商主数据</x:v>
      </x:c>
      <x:c r="J31" s="31" t="str">
        <x:v>部分覆盖</x:v>
      </x:c>
      <x:c r="K31" s="31" t="str">
        <x:v>CASE-005（已有历史任职）</x:v>
      </x:c>
      <x:c r="L31" s="31" t="str">
        <x:v>PKG-02</x:v>
      </x:c>
      <x:c r="M31" s="31" t="str">
        <x:v>SCENE-COUNTERPARTY</x:v>
      </x:c>
      <x:c r="N31" s="31" t="str">
        <x:v>P0</x:v>
      </x:c>
      <x:c r="O31" s="31" t="str">
        <x:v>写入风险模式目录，后续绑定场景版本与规则版本</x:v>
      </x:c>
    </x:row>
    <x:row r="32" ht="42" customHeight="1">
      <x:c r="A32" s="31" t="str">
        <x:v>上下游交易对手关联关系异常识别</x:v>
      </x:c>
      <x:c r="B32" s="31" t="str">
        <x:v>405</x:v>
      </x:c>
      <x:c r="C32" s="31" t="str">
        <x:v>上下游地址联系方式重合检测</x:v>
      </x:c>
      <x:c r="D32" s="31" t="str">
        <x:v>智能比对上下游企业注册地址、联系电话、对接联系人等关键信息，筛查信息高度重合的异常主体，甄别无独立经营能力的关联空转贸易。</x:v>
      </x:c>
      <x:c r="E32" s="31" t="str">
        <x:v>事前</x:v>
      </x:c>
      <x:c r="F32" s="31" t="str">
        <x:v>关系路径</x:v>
      </x:c>
      <x:c r="G32" s="31" t="str">
        <x:v>上下游主体</x:v>
      </x:c>
      <x:c r="H32" s="31" t="str">
        <x:v>关系、属性或业务时序组合判断</x:v>
      </x:c>
      <x:c r="I32" s="31" t="str">
        <x:v>合同系统、工商股权、人员任职、供应商主数据</x:v>
      </x:c>
      <x:c r="J32" s="31" t="str">
        <x:v>当前已覆盖</x:v>
      </x:c>
      <x:c r="K32" s="31" t="str">
        <x:v>CASE-004</x:v>
      </x:c>
      <x:c r="L32" s="31" t="str">
        <x:v>PKG-02</x:v>
      </x:c>
      <x:c r="M32" s="31" t="str">
        <x:v>SCENE-COUNTERPARTY</x:v>
      </x:c>
      <x:c r="N32" s="31" t="str">
        <x:v>P0</x:v>
      </x:c>
      <x:c r="O32" s="31" t="str">
        <x:v>写入风险模式目录，后续绑定场景版本与规则版本</x:v>
      </x:c>
    </x:row>
    <x:row r="33" ht="42" customHeight="1">
      <x:c r="A33" s="31" t="str">
        <x:v>结算模式异常识别</x:v>
      </x:c>
      <x:c r="B33" s="31" t="str">
        <x:v>501</x:v>
      </x:c>
      <x:c r="C33" s="31" t="str">
        <x:v>短期客商双向收付款异常检测</x:v>
      </x:c>
      <x:c r="D33" s="31" t="str">
        <x:v>智能监控15天短期周期内交易数据，识别同一客商或关联上下游主体同时存在收款、付款的双向资金往来行为，预警资金闭环、无实质贸易的对冲交易风险。</x:v>
      </x:c>
      <x:c r="E33" s="31" t="str">
        <x:v>事后</x:v>
      </x:c>
      <x:c r="F33" s="31" t="str">
        <x:v>聚合</x:v>
      </x:c>
      <x:c r="G33" s="31" t="str">
        <x:v>客商/应收预付/付款</x:v>
      </x:c>
      <x:c r="H33" s="31" t="str">
        <x:v>15天内双向收付款</x:v>
      </x:c>
      <x:c r="I33" s="31" t="str">
        <x:v>财务核算、司库、银行流水、发票平台</x:v>
      </x:c>
      <x:c r="J33" s="31" t="str">
        <x:v>当前已覆盖</x:v>
      </x:c>
      <x:c r="K33" s="31" t="str">
        <x:v>CASE-006（同日双向收付款）</x:v>
      </x:c>
      <x:c r="L33" s="31" t="str">
        <x:v>PKG-01</x:v>
      </x:c>
      <x:c r="M33" s="31" t="str">
        <x:v>SCENE-TRADE-CYCLE</x:v>
      </x:c>
      <x:c r="N33" s="31" t="str">
        <x:v>P0</x:v>
      </x:c>
      <x:c r="O33" s="31" t="str">
        <x:v>案例包数据已补齐，可生成正式规则版本和试跑任务</x:v>
      </x:c>
    </x:row>
    <x:row r="34" ht="42" customHeight="1">
      <x:c r="A34" s="31" t="str">
        <x:v>结算模式异常识别</x:v>
      </x:c>
      <x:c r="B34" s="31" t="str">
        <x:v>502</x:v>
      </x:c>
      <x:c r="C34" s="31" t="str">
        <x:v>客商应收预付双向挂账检测</x:v>
      </x:c>
      <x:c r="D34" s="31" t="str">
        <x:v>自动比对客商账务数据，筛查同一客商及关联主体同时存在应收、预付双向挂账的异常账务场景，识别账务对冲、虚构贸易流水的违规隐患。</x:v>
      </x:c>
      <x:c r="E34" s="31" t="str">
        <x:v>事后</x:v>
      </x:c>
      <x:c r="F34" s="31" t="str">
        <x:v>聚合</x:v>
      </x:c>
      <x:c r="G34" s="31" t="str">
        <x:v>客商/应收预付/付款</x:v>
      </x:c>
      <x:c r="H34" s="31" t="str">
        <x:v>关系、属性或业务时序组合判断</x:v>
      </x:c>
      <x:c r="I34" s="31" t="str">
        <x:v>财务核算、司库、银行流水、发票平台</x:v>
      </x:c>
      <x:c r="J34" s="31" t="str">
        <x:v>待新增内部数据</x:v>
      </x:c>
      <x:c r="K34" s="31" t="str">
        <x:v>—</x:v>
      </x:c>
      <x:c r="L34" s="31" t="str">
        <x:v>PKG-01</x:v>
      </x:c>
      <x:c r="M34" s="31" t="str">
        <x:v>SCENE-TRADE-CYCLE</x:v>
      </x:c>
      <x:c r="N34" s="31" t="str">
        <x:v>P1</x:v>
      </x:c>
      <x:c r="O34" s="31" t="str">
        <x:v>写入风险模式目录，后续绑定场景版本与规则版本</x:v>
      </x:c>
    </x:row>
    <x:row r="35" ht="42" customHeight="1">
      <x:c r="A35" s="31" t="str">
        <x:v>结算模式异常识别</x:v>
      </x:c>
      <x:c r="B35" s="31" t="str">
        <x:v>503</x:v>
      </x:c>
      <x:c r="C35" s="31" t="str">
        <x:v>三流主体信息不一致检测</x:v>
      </x:c>
      <x:c r="D35" s="31" t="str">
        <x:v>对合同、发票、收付款全链路主体进行智能交叉核验，精准识别三单主体信息不一致的异常情况，防范走票走账、虚假贸易、违规代收付等合规风险。</x:v>
      </x:c>
      <x:c r="E35" s="31" t="str">
        <x:v>事后</x:v>
      </x:c>
      <x:c r="F35" s="31" t="str">
        <x:v>关系路径</x:v>
      </x:c>
      <x:c r="G35" s="31" t="str">
        <x:v>客商/应收预付/付款</x:v>
      </x:c>
      <x:c r="H35" s="31" t="str">
        <x:v>关系、属性或业务时序组合判断</x:v>
      </x:c>
      <x:c r="I35" s="31" t="str">
        <x:v>财务核算、司库、银行流水、发票平台</x:v>
      </x:c>
      <x:c r="J35" s="31" t="str">
        <x:v>当前已覆盖</x:v>
      </x:c>
      <x:c r="K35" s="31" t="str">
        <x:v>CASE-006（三流主体不一致）</x:v>
      </x:c>
      <x:c r="L35" s="31" t="str">
        <x:v>PKG-01</x:v>
      </x:c>
      <x:c r="M35" s="31" t="str">
        <x:v>SCENE-TRADE-CYCLE</x:v>
      </x:c>
      <x:c r="N35" s="31" t="str">
        <x:v>P0</x:v>
      </x:c>
      <x:c r="O35" s="31" t="str">
        <x:v>案例包数据已补齐，可生成正式规则版本和试跑任务</x:v>
      </x:c>
    </x:row>
    <x:row r="36" ht="42" customHeight="1">
      <x:c r="A36" s="31" t="str">
        <x:v>资金流异常识别</x:v>
      </x:c>
      <x:c r="B36" s="31" t="str">
        <x:v>601</x:v>
      </x:c>
      <x:c r="C36" s="31" t="str">
        <x:v>累计资金占用异常检测</x:v>
      </x:c>
      <x:c r="D36" s="31" t="str">
        <x:v>智能统计合作主体资金占用时长与日均占用额度，自动识别累计占用超X天、日均占用超Y万元的异常资金占用行为，预警以贸易为名变相资金拆借的融资性贸易风险。</x:v>
      </x:c>
      <x:c r="E36" s="31" t="str">
        <x:v>事后</x:v>
      </x:c>
      <x:c r="F36" s="31" t="str">
        <x:v>聚合</x:v>
      </x:c>
      <x:c r="G36" s="31" t="str">
        <x:v>付款/银行账户</x:v>
      </x:c>
      <x:c r="H36" s="31" t="str">
        <x:v>X天、Y万元（待制度确认）</x:v>
      </x:c>
      <x:c r="I36" s="31" t="str">
        <x:v>合同系统、财务核算、司库、银行流水、财务报表</x:v>
      </x:c>
      <x:c r="J36" s="31" t="str">
        <x:v>待新增内部数据</x:v>
      </x:c>
      <x:c r="K36" s="31" t="str">
        <x:v>—</x:v>
      </x:c>
      <x:c r="L36" s="31" t="str">
        <x:v>PKG-03</x:v>
      </x:c>
      <x:c r="M36" s="31" t="str">
        <x:v>SCENE-PRICE-FINANCE</x:v>
      </x:c>
      <x:c r="N36" s="31" t="str">
        <x:v>P1</x:v>
      </x:c>
      <x:c r="O36" s="31" t="str">
        <x:v>写入风险模式目录，后续绑定场景版本与规则版本</x:v>
      </x:c>
    </x:row>
    <x:row r="37" ht="42" customHeight="1">
      <x:c r="A37" s="31" t="str">
        <x:v>资金流异常识别</x:v>
      </x:c>
      <x:c r="B37" s="31" t="str">
        <x:v>602</x:v>
      </x:c>
      <x:c r="C37" s="31" t="str">
        <x:v>大额应收预付逾期检测</x:v>
      </x:c>
      <x:c r="D37" s="31" t="str">
        <x:v>全域筛查企业应收、预付账务数据，精准识别存在逾期记录且逾期金额超N万元的交易场景，排查交易对手履约能力不足、贸易坏账及违规资金占用风险。</x:v>
      </x:c>
      <x:c r="E37" s="31" t="str">
        <x:v>事后</x:v>
      </x:c>
      <x:c r="F37" s="31" t="str">
        <x:v>聚合</x:v>
      </x:c>
      <x:c r="G37" s="31" t="str">
        <x:v>付款/银行账户</x:v>
      </x:c>
      <x:c r="H37" s="31" t="str">
        <x:v>逾期金额N万元（待制度确认）</x:v>
      </x:c>
      <x:c r="I37" s="31" t="str">
        <x:v>合同系统、财务核算、司库、银行流水、财务报表</x:v>
      </x:c>
      <x:c r="J37" s="31" t="str">
        <x:v>待新增内部数据</x:v>
      </x:c>
      <x:c r="K37" s="31" t="str">
        <x:v>—</x:v>
      </x:c>
      <x:c r="L37" s="31" t="str">
        <x:v>PKG-03</x:v>
      </x:c>
      <x:c r="M37" s="31" t="str">
        <x:v>SCENE-PRICE-FINANCE</x:v>
      </x:c>
      <x:c r="N37" s="31" t="str">
        <x:v>P1</x:v>
      </x:c>
      <x:c r="O37" s="31" t="str">
        <x:v>写入风险模式目录，后续绑定场景版本与规则版本</x:v>
      </x:c>
    </x:row>
    <x:row r="38" ht="42" customHeight="1">
      <x:c r="A38" s="31" t="str">
        <x:v>资金流异常识别</x:v>
      </x:c>
      <x:c r="B38" s="31" t="str">
        <x:v>603</x:v>
      </x:c>
      <x:c r="C38" s="31" t="str">
        <x:v>收付款节点大幅前置异常检测</x:v>
      </x:c>
      <x:c r="D38" s="31" t="str">
        <x:v>智能比对合同约定收付节点与实际资金流转节点，识别实际收付款时间较合同约定提前90天以上的异常交易，筛查无合理商业理由、变相资金融通的违规贸易行为。</x:v>
      </x:c>
      <x:c r="E38" s="31" t="str">
        <x:v>事后</x:v>
      </x:c>
      <x:c r="F38" s="31" t="str">
        <x:v>时序</x:v>
      </x:c>
      <x:c r="G38" s="31" t="str">
        <x:v>付款/银行账户</x:v>
      </x:c>
      <x:c r="H38" s="31" t="str">
        <x:v>实际节点提前≥90天</x:v>
      </x:c>
      <x:c r="I38" s="31" t="str">
        <x:v>合同系统、财务核算、司库、银行流水、财务报表</x:v>
      </x:c>
      <x:c r="J38" s="31" t="str">
        <x:v>部分覆盖</x:v>
      </x:c>
      <x:c r="K38" s="31" t="str">
        <x:v>CASE-007（需补合同约定节点）</x:v>
      </x:c>
      <x:c r="L38" s="31" t="str">
        <x:v>PKG-03</x:v>
      </x:c>
      <x:c r="M38" s="31" t="str">
        <x:v>SCENE-PRICE-FINANCE</x:v>
      </x:c>
      <x:c r="N38" s="31" t="str">
        <x:v>P0</x:v>
      </x:c>
      <x:c r="O38" s="31" t="str">
        <x:v>写入风险模式目录，后续绑定场景版本与规则版本</x:v>
      </x:c>
    </x:row>
    <x:row r="39" ht="42" customHeight="1">
      <x:c r="A39" s="31" t="str">
        <x:v>资金流异常识别</x:v>
      </x:c>
      <x:c r="B39" s="31" t="str">
        <x:v>604</x:v>
      </x:c>
      <x:c r="C39" s="31" t="str">
        <x:v>高预付高负债风险检测</x:v>
      </x:c>
      <x:c r="D39" s="31" t="str">
        <x:v>双维度联动校验预付比例与对手经营指标，自动识别预付款占比超80%、且对方资产负债率超85%的高风险交易，防范高预付、高负债主体带来的资金流失与合规风险。</x:v>
      </x:c>
      <x:c r="E39" s="31" t="str">
        <x:v>事后</x:v>
      </x:c>
      <x:c r="F39" s="31" t="str">
        <x:v>聚合</x:v>
      </x:c>
      <x:c r="G39" s="31" t="str">
        <x:v>付款/银行账户</x:v>
      </x:c>
      <x:c r="H39" s="31" t="str">
        <x:v>预付＞80%且负债率＞85%</x:v>
      </x:c>
      <x:c r="I39" s="31" t="str">
        <x:v>合同系统、财务核算、司库、银行流水、财务报表</x:v>
      </x:c>
      <x:c r="J39" s="31" t="str">
        <x:v>部分覆盖</x:v>
      </x:c>
      <x:c r="K39" s="31" t="str">
        <x:v>CASE-007（需补资产负债率）</x:v>
      </x:c>
      <x:c r="L39" s="31" t="str">
        <x:v>PKG-03</x:v>
      </x:c>
      <x:c r="M39" s="31" t="str">
        <x:v>SCENE-PRICE-FINANCE</x:v>
      </x:c>
      <x:c r="N39" s="31" t="str">
        <x:v>P0</x:v>
      </x:c>
      <x:c r="O39" s="31" t="str">
        <x:v>写入风险模式目录，后续绑定场景版本与规则版本</x:v>
      </x:c>
    </x:row>
    <x:row r="40" ht="42" customHeight="1">
      <x:c r="A40" s="31" t="str">
        <x:v>资金流异常识别</x:v>
      </x:c>
      <x:c r="B40" s="31" t="str">
        <x:v>605</x:v>
      </x:c>
      <x:c r="C40" s="31" t="str">
        <x:v>上下游回款账户同源检测</x:v>
      </x:c>
      <x:c r="D40" s="31" t="str">
        <x:v>穿透比对上下游交易资金账户信息，识别上游付款账户与下游回款账户为同一账户的异常场景，精准预警资金闭环流转、无实质货物流转的循环贸易风险。</x:v>
      </x:c>
      <x:c r="E40" s="31" t="str">
        <x:v>事后</x:v>
      </x:c>
      <x:c r="F40" s="31" t="str">
        <x:v>关系路径</x:v>
      </x:c>
      <x:c r="G40" s="31" t="str">
        <x:v>付款/银行账户</x:v>
      </x:c>
      <x:c r="H40" s="31" t="str">
        <x:v>关系、属性或业务时序组合判断</x:v>
      </x:c>
      <x:c r="I40" s="31" t="str">
        <x:v>合同系统、财务核算、司库、银行流水、财务报表</x:v>
      </x:c>
      <x:c r="J40" s="31" t="str">
        <x:v>当前已覆盖</x:v>
      </x:c>
      <x:c r="K40" s="31" t="str">
        <x:v>CASE-006（上下游账户同源）</x:v>
      </x:c>
      <x:c r="L40" s="31" t="str">
        <x:v>PKG-01</x:v>
      </x:c>
      <x:c r="M40" s="31" t="str">
        <x:v>SCENE-TRADE-CYCLE</x:v>
      </x:c>
      <x:c r="N40" s="31" t="str">
        <x:v>P0</x:v>
      </x:c>
      <x:c r="O40" s="31" t="str">
        <x:v>案例包数据已补齐，可生成正式规则版本和试跑任务</x:v>
      </x:c>
    </x:row>
    <x:row r="41" ht="42" customHeight="1">
      <x:c r="A41" s="31" t="str">
        <x:v>资金流异常识别</x:v>
      </x:c>
      <x:c r="B41" s="31" t="str">
        <x:v>606</x:v>
      </x:c>
      <x:c r="C41" s="31" t="str">
        <x:v>当日小额差额资金回流检测</x:v>
      </x:c>
      <x:c r="D41" s="31" t="str">
        <x:v>智能校验同日资金收付流水，筛查付款与回款日期一致、金额差值小于5%的资金回流行为，快速锁定闭环对倒、虚构贸易流水的虚假贸易场景。</x:v>
      </x:c>
      <x:c r="E41" s="31" t="str">
        <x:v>事后</x:v>
      </x:c>
      <x:c r="F41" s="31" t="str">
        <x:v>时序</x:v>
      </x:c>
      <x:c r="G41" s="31" t="str">
        <x:v>付款/银行账户</x:v>
      </x:c>
      <x:c r="H41" s="31" t="str">
        <x:v>同日且金额差＜5%</x:v>
      </x:c>
      <x:c r="I41" s="31" t="str">
        <x:v>合同系统、财务核算、司库、银行流水、财务报表</x:v>
      </x:c>
      <x:c r="J41" s="31" t="str">
        <x:v>当前已覆盖</x:v>
      </x:c>
      <x:c r="K41" s="31" t="str">
        <x:v>CASE-006（同日差额4.94%）</x:v>
      </x:c>
      <x:c r="L41" s="31" t="str">
        <x:v>PKG-01</x:v>
      </x:c>
      <x:c r="M41" s="31" t="str">
        <x:v>SCENE-TRADE-CYCLE</x:v>
      </x:c>
      <x:c r="N41" s="31" t="str">
        <x:v>P0</x:v>
      </x:c>
      <x:c r="O41" s="31" t="str">
        <x:v>案例包数据已补齐，可生成正式规则版本和试跑任务</x:v>
      </x:c>
    </x:row>
    <x:row r="42" ht="42" customHeight="1">
      <x:c r="A42" s="31" t="str">
        <x:v>资金流异常识别</x:v>
      </x:c>
      <x:c r="B42" s="31" t="str">
        <x:v>607</x:v>
      </x:c>
      <x:c r="C42" s="31" t="str">
        <x:v>个人账户收款异常</x:v>
      </x:c>
      <x:c r="D42" s="31" t="str">
        <x:v>自动甄别贸易回款入账账户类型，精准拦截下游贸易回款流入个人账户的违规场景，规避公私账户混用、资金体外循环、不合规结算的贸易风险。</x:v>
      </x:c>
      <x:c r="E42" s="31" t="str">
        <x:v>事后</x:v>
      </x:c>
      <x:c r="F42" s="31" t="str">
        <x:v>字段比对</x:v>
      </x:c>
      <x:c r="G42" s="31" t="str">
        <x:v>付款/银行账户</x:v>
      </x:c>
      <x:c r="H42" s="31" t="str">
        <x:v>关系、属性或业务时序组合判断</x:v>
      </x:c>
      <x:c r="I42" s="31" t="str">
        <x:v>合同系统、财务核算、司库、银行流水、财务报表</x:v>
      </x:c>
      <x:c r="J42" s="31" t="str">
        <x:v>待新增内部数据</x:v>
      </x:c>
      <x:c r="K42" s="31" t="str">
        <x:v>—</x:v>
      </x:c>
      <x:c r="L42" s="31" t="str">
        <x:v>PKG-04</x:v>
      </x:c>
      <x:c r="M42" s="31" t="str">
        <x:v>SCENE-DELIVERY-RISK</x:v>
      </x:c>
      <x:c r="N42" s="31" t="str">
        <x:v>P1</x:v>
      </x:c>
      <x:c r="O42" s="31" t="str">
        <x:v>写入风险模式目录，后续绑定场景版本与规则版本</x:v>
      </x:c>
    </x:row>
    <x:row r="43" ht="42" customHeight="1">
      <x:c r="A43" s="31" t="str">
        <x:v>货权转移异常识别</x:v>
      </x:c>
      <x:c r="B43" s="31" t="str">
        <x:v>701</x:v>
      </x:c>
      <x:c r="C43" s="31" t="str">
        <x:v>收付款无完整交付信息检测</x:v>
      </x:c>
      <x:c r="D43" s="31" t="str">
        <x:v>智能交叉比对资金流水与货物交付数据，识别存在完整收付款记录，但缺失交付单据、物流、签收等货权凭证或交付信息残缺的异常交易，排查仅有资金流转、无真实货权转移的空转贸易风险。</x:v>
      </x:c>
      <x:c r="E43" s="31" t="str">
        <x:v>事后</x:v>
      </x:c>
      <x:c r="F43" s="31" t="str">
        <x:v>关系路径</x:v>
      </x:c>
      <x:c r="G43" s="31" t="str">
        <x:v>订单/物流/仓单</x:v>
      </x:c>
      <x:c r="H43" s="31" t="str">
        <x:v>关系、属性或业务时序组合判断</x:v>
      </x:c>
      <x:c r="I43" s="31" t="str">
        <x:v>ERP、WMS、物流平台、仓单系统、交易所名单</x:v>
      </x:c>
      <x:c r="J43" s="31" t="str">
        <x:v>当前已覆盖</x:v>
      </x:c>
      <x:c r="K43" s="31" t="str">
        <x:v>CASE-006</x:v>
      </x:c>
      <x:c r="L43" s="31" t="str">
        <x:v>PKG-04</x:v>
      </x:c>
      <x:c r="M43" s="31" t="str">
        <x:v>SCENE-DELIVERY-RISK</x:v>
      </x:c>
      <x:c r="N43" s="31" t="str">
        <x:v>P0</x:v>
      </x:c>
      <x:c r="O43" s="31" t="str">
        <x:v>写入风险模式目录，后续绑定场景版本与规则版本</x:v>
      </x:c>
    </x:row>
    <x:row r="44" ht="42" customHeight="1">
      <x:c r="A44" s="31" t="str">
        <x:v>货权转移异常识别</x:v>
      </x:c>
      <x:c r="B44" s="31" t="str">
        <x:v>702</x:v>
      </x:c>
      <x:c r="C44" s="31" t="str">
        <x:v>采购交付数量不符检测</x:v>
      </x:c>
      <x:c r="D44" s="31" t="str">
        <x:v>自动校验上游采购合同约定数量与实际交付、入库数量数据，精准筛查交付数量与合同标准不一致的异常场景，防范货物流转不实、贸易数据造假的虚假贸易问题。</x:v>
      </x:c>
      <x:c r="E44" s="31" t="str">
        <x:v>事中</x:v>
      </x:c>
      <x:c r="F44" s="31" t="str">
        <x:v>字段比对</x:v>
      </x:c>
      <x:c r="G44" s="31" t="str">
        <x:v>订单/物流/仓单</x:v>
      </x:c>
      <x:c r="H44" s="31" t="str">
        <x:v>关系、属性或业务时序组合判断</x:v>
      </x:c>
      <x:c r="I44" s="31" t="str">
        <x:v>ERP、WMS、物流平台、仓单系统、交易所名单</x:v>
      </x:c>
      <x:c r="J44" s="31" t="str">
        <x:v>待新增内部数据</x:v>
      </x:c>
      <x:c r="K44" s="31" t="str">
        <x:v>—</x:v>
      </x:c>
      <x:c r="L44" s="31" t="str">
        <x:v>PKG-04</x:v>
      </x:c>
      <x:c r="M44" s="31" t="str">
        <x:v>SCENE-DELIVERY-RISK</x:v>
      </x:c>
      <x:c r="N44" s="31" t="str">
        <x:v>P1</x:v>
      </x:c>
      <x:c r="O44" s="31" t="str">
        <x:v>写入风险模式目录，后续绑定场景版本与规则版本</x:v>
      </x:c>
    </x:row>
    <x:row r="45" ht="42" customHeight="1">
      <x:c r="A45" s="31" t="str">
        <x:v>货权转移异常识别</x:v>
      </x:c>
      <x:c r="B45" s="31" t="str">
        <x:v>703</x:v>
      </x:c>
      <x:c r="C45" s="31" t="str">
        <x:v>非标仓单交易风险检测</x:v>
      </x:c>
      <x:c r="D45" s="31" t="str">
        <x:v>自动校验仓单开具主体资质，比对上期所、郑商所、大商所公示的正规交割仓库及厂库名单，精准识别非合规机构出具的非标仓单交易，预警非标仓单质押、变相融资等违规贸易风险。</x:v>
      </x:c>
      <x:c r="E45" s="31" t="str">
        <x:v>事前</x:v>
      </x:c>
      <x:c r="F45" s="31" t="str">
        <x:v>字段比对</x:v>
      </x:c>
      <x:c r="G45" s="31" t="str">
        <x:v>订单/物流/仓单</x:v>
      </x:c>
      <x:c r="H45" s="31" t="str">
        <x:v>关系、属性或业务时序组合判断</x:v>
      </x:c>
      <x:c r="I45" s="31" t="str">
        <x:v>ERP、WMS、物流平台、仓单系统、交易所名单</x:v>
      </x:c>
      <x:c r="J45" s="31" t="str">
        <x:v>依赖外部数据</x:v>
      </x:c>
      <x:c r="K45" s="31" t="str">
        <x:v>—</x:v>
      </x:c>
      <x:c r="L45" s="31" t="str">
        <x:v>PKG-04</x:v>
      </x:c>
      <x:c r="M45" s="31" t="str">
        <x:v>SCENE-DELIVERY-RISK</x:v>
      </x:c>
      <x:c r="N45" s="31" t="str">
        <x:v>P2</x:v>
      </x:c>
      <x:c r="O45" s="31" t="str">
        <x:v>写入风险模式目录，后续绑定场景版本与规则版本</x:v>
      </x:c>
    </x:row>
    <x:row r="46" ht="42" customHeight="1">
      <x:c r="A46" s="31" t="str">
        <x:v>其他异常识别</x:v>
      </x:c>
      <x:c r="B46" s="31" t="str">
        <x:v>801</x:v>
      </x:c>
      <x:c r="C46" s="31" t="str">
        <x:v>央企空转走单套利检测</x:v>
      </x:c>
      <x:c r="D46" s="31" t="str">
        <x:v>智能比对央企收支合同相似度，精准识别央企贸易项目转包民企、仅收取手续费、无实质经营流转的空转走单交易模式，防范纯套利、无商业实质的虚假贸易行为。</x:v>
      </x:c>
      <x:c r="E46" s="31" t="str">
        <x:v>事后</x:v>
      </x:c>
      <x:c r="F46" s="31" t="str">
        <x:v>高级表达式</x:v>
      </x:c>
      <x:c r="G46" s="31" t="str">
        <x:v>贸易链路/企业群组</x:v>
      </x:c>
      <x:c r="H46" s="31" t="str">
        <x:v>关系、属性或业务时序组合判断</x:v>
      </x:c>
      <x:c r="I46" s="31" t="str">
        <x:v>合同发票、资金流水、工商图谱、集团组织主数据</x:v>
      </x:c>
      <x:c r="J46" s="31" t="str">
        <x:v>待新增内部数据</x:v>
      </x:c>
      <x:c r="K46" s="31" t="str">
        <x:v>—</x:v>
      </x:c>
      <x:c r="L46" s="31" t="str">
        <x:v>PKG-01</x:v>
      </x:c>
      <x:c r="M46" s="31" t="str">
        <x:v>SCENE-TRADE-CYCLE</x:v>
      </x:c>
      <x:c r="N46" s="31" t="str">
        <x:v>P2</x:v>
      </x:c>
      <x:c r="O46" s="31" t="str">
        <x:v>写入风险模式目录，后续绑定场景版本与规则版本</x:v>
      </x:c>
    </x:row>
    <x:row r="47" ht="42" customHeight="1">
      <x:c r="A47" s="31" t="str">
        <x:v>其他异常识别</x:v>
      </x:c>
      <x:c r="B47" s="31" t="str">
        <x:v>802</x:v>
      </x:c>
      <x:c r="C47" s="31" t="str">
        <x:v>贸易链路虚增环节检测</x:v>
      </x:c>
      <x:c r="D47" s="31" t="str">
        <x:v>智能拆解贸易链路结构，针对性识别“两端央企、中间民企”的嵌套交易架构，结合交易规模、流转特征研判冗余交易环节，精准筛查人为虚增链条、抬高流水的违规贸易。</x:v>
      </x:c>
      <x:c r="E47" s="31" t="str">
        <x:v>事后</x:v>
      </x:c>
      <x:c r="F47" s="31" t="str">
        <x:v>关系路径</x:v>
      </x:c>
      <x:c r="G47" s="31" t="str">
        <x:v>贸易链路/企业群组</x:v>
      </x:c>
      <x:c r="H47" s="31" t="str">
        <x:v>关系、属性或业务时序组合判断</x:v>
      </x:c>
      <x:c r="I47" s="31" t="str">
        <x:v>合同发票、资金流水、工商图谱、集团组织主数据</x:v>
      </x:c>
      <x:c r="J47" s="31" t="str">
        <x:v>待新增内部数据</x:v>
      </x:c>
      <x:c r="K47" s="31" t="str">
        <x:v>—</x:v>
      </x:c>
      <x:c r="L47" s="31" t="str">
        <x:v>PKG-01</x:v>
      </x:c>
      <x:c r="M47" s="31" t="str">
        <x:v>SCENE-TRADE-CYCLE</x:v>
      </x:c>
      <x:c r="N47" s="31" t="str">
        <x:v>P2</x:v>
      </x:c>
      <x:c r="O47" s="31" t="str">
        <x:v>写入风险模式目录，后续绑定场景版本与规则版本</x:v>
      </x:c>
    </x:row>
    <x:row r="48" ht="42" customHeight="1">
      <x:c r="A48" s="31" t="str">
        <x:v>其他异常识别</x:v>
      </x:c>
      <x:c r="B48" s="31" t="str">
        <x:v>803</x:v>
      </x:c>
      <x:c r="C48" s="31" t="str">
        <x:v>民企关联群组交易挖掘检测</x:v>
      </x:c>
      <x:c r="D48" s="31" t="str">
        <x:v>融合资金结算时序数据、企业多维关联图谱、工商征信外部数据，通过图计算算法深度挖掘民企矩阵式集群交易、闭环关联交易行为，识别隐蔽群组化虚假贸易风险。</x:v>
      </x:c>
      <x:c r="E48" s="31" t="str">
        <x:v>事后</x:v>
      </x:c>
      <x:c r="F48" s="31" t="str">
        <x:v>高级表达式</x:v>
      </x:c>
      <x:c r="G48" s="31" t="str">
        <x:v>贸易链路/企业群组</x:v>
      </x:c>
      <x:c r="H48" s="31" t="str">
        <x:v>关系、属性或业务时序组合判断</x:v>
      </x:c>
      <x:c r="I48" s="31" t="str">
        <x:v>合同发票、资金流水、工商图谱、集团组织主数据</x:v>
      </x:c>
      <x:c r="J48" s="31" t="str">
        <x:v>部分覆盖</x:v>
      </x:c>
      <x:c r="K48" s="31" t="str">
        <x:v>CASE-004/006（需补历史矩阵）</x:v>
      </x:c>
      <x:c r="L48" s="31" t="str">
        <x:v>PKG-01</x:v>
      </x:c>
      <x:c r="M48" s="31" t="str">
        <x:v>SCENE-TRADE-CYCLE</x:v>
      </x:c>
      <x:c r="N48" s="31" t="str">
        <x:v>P1</x:v>
      </x:c>
      <x:c r="O48" s="31" t="str">
        <x:v>写入风险模式目录，后续绑定场景版本与规则版本</x:v>
      </x:c>
    </x:row>
    <x:row r="49" ht="42" customHeight="1">
      <x:c r="A49" s="31" t="str">
        <x:v>其他异常识别</x:v>
      </x:c>
      <x:c r="B49" s="31" t="str">
        <x:v>804</x:v>
      </x:c>
      <x:c r="C49" s="31" t="str">
        <x:v>企业资金归集异常聚合检测</x:v>
      </x:c>
      <x:c r="D49" s="31" t="str">
        <x:v>按交易主体维度对周期内连续收支资金进行分组聚合，结合交易时间差、收支比例、资金差额多维度研判，智能输出资金集中归集、异常资金往来的风险线索。</x:v>
      </x:c>
      <x:c r="E49" s="31" t="str">
        <x:v>事后</x:v>
      </x:c>
      <x:c r="F49" s="31" t="str">
        <x:v>聚合</x:v>
      </x:c>
      <x:c r="G49" s="31" t="str">
        <x:v>贸易链路/企业群组</x:v>
      </x:c>
      <x:c r="H49" s="31" t="str">
        <x:v>关系、属性或业务时序组合判断</x:v>
      </x:c>
      <x:c r="I49" s="31" t="str">
        <x:v>合同发票、资金流水、工商图谱、集团组织主数据</x:v>
      </x:c>
      <x:c r="J49" s="31" t="str">
        <x:v>部分覆盖</x:v>
      </x:c>
      <x:c r="K49" s="31" t="str">
        <x:v>CASE-006（需补周期流水）</x:v>
      </x:c>
      <x:c r="L49" s="31" t="str">
        <x:v>PKG-01</x:v>
      </x:c>
      <x:c r="M49" s="31" t="str">
        <x:v>SCENE-TRADE-CYCLE</x:v>
      </x:c>
      <x:c r="N49" s="31" t="str">
        <x:v>P1</x:v>
      </x:c>
      <x:c r="O49" s="31" t="str">
        <x:v>写入风险模式目录，后续绑定场景版本与规则版本</x:v>
      </x:c>
    </x:row>
    <x:row r="50" ht="42" customHeight="1">
      <x:c r="A50" s="31" t="str">
        <x:v>其他异常识别</x:v>
      </x:c>
      <x:c r="B50" s="31" t="str">
        <x:v>805</x:v>
      </x:c>
      <x:c r="C50" s="31" t="str">
        <x:v>跨主体货物异常流转链路检测</x:v>
      </x:c>
      <x:c r="D50" s="31" t="str">
        <x:v>基于发票全链条溯源还原货物流转路径，识别央国企先向民企售货、民企再将同规格货物回流至同一集团其他主体的异常流转模式，拦截集团内部闭环空转贸易。</x:v>
      </x:c>
      <x:c r="E50" s="31" t="str">
        <x:v>事后</x:v>
      </x:c>
      <x:c r="F50" s="31" t="str">
        <x:v>关系路径</x:v>
      </x:c>
      <x:c r="G50" s="31" t="str">
        <x:v>贸易链路/企业群组</x:v>
      </x:c>
      <x:c r="H50" s="31" t="str">
        <x:v>关系、属性或业务时序组合判断</x:v>
      </x:c>
      <x:c r="I50" s="31" t="str">
        <x:v>合同发票、资金流水、工商图谱、集团组织主数据</x:v>
      </x:c>
      <x:c r="J50" s="31" t="str">
        <x:v>待新增内部数据</x:v>
      </x:c>
      <x:c r="K50" s="31" t="str">
        <x:v>—</x:v>
      </x:c>
      <x:c r="L50" s="31" t="str">
        <x:v>PKG-01</x:v>
      </x:c>
      <x:c r="M50" s="31" t="str">
        <x:v>SCENE-TRADE-CYCLE</x:v>
      </x:c>
      <x:c r="N50" s="31" t="str">
        <x:v>P2</x:v>
      </x:c>
      <x:c r="O50" s="31" t="str">
        <x:v>写入风险模式目录，后续绑定场景版本与规则版本</x:v>
      </x:c>
    </x:row>
    <x:row r="51" ht="42" customHeight="1">
      <x:c r="A51" s="31" t="str">
        <x:v>价格异常识别</x:v>
      </x:c>
      <x:c r="B51" s="31" t="str">
        <x:v>A01</x:v>
      </x:c>
      <x:c r="C51" s="31" t="str">
        <x:v>纵向历史价格异常检测</x:v>
      </x:c>
      <x:c r="D51" s="31" t="str">
        <x:v>智能比对单一供应商同一标的物的历史交易单价，自动识别单价浮动差值超20%的异常波动，排查无合理依据的纵向价格异动，预警违背市场常识的违规贸易风险。</x:v>
      </x:c>
      <x:c r="E51" s="31" t="str">
        <x:v>事中</x:v>
      </x:c>
      <x:c r="F51" s="31" t="str">
        <x:v>聚合</x:v>
      </x:c>
      <x:c r="G51" s="31" t="str">
        <x:v>商品/供应商/订单</x:v>
      </x:c>
      <x:c r="H51" s="31" t="str">
        <x:v>同供应商历史单价波动＞20%</x:v>
      </x:c>
      <x:c r="I51" s="31" t="str">
        <x:v>ERP采购、电子采购、商品主数据、市场价格</x:v>
      </x:c>
      <x:c r="J51" s="31" t="str">
        <x:v>待新增内部数据</x:v>
      </x:c>
      <x:c r="K51" s="31" t="str">
        <x:v>—</x:v>
      </x:c>
      <x:c r="L51" s="31" t="str">
        <x:v>PKG-03</x:v>
      </x:c>
      <x:c r="M51" s="31" t="str">
        <x:v>SCENE-PRICE-FINANCE</x:v>
      </x:c>
      <x:c r="N51" s="31" t="str">
        <x:v>P1</x:v>
      </x:c>
      <x:c r="O51" s="31" t="str">
        <x:v>写入风险模式目录，后续绑定场景版本与规则版本</x:v>
      </x:c>
    </x:row>
    <x:row r="52" ht="42" customHeight="1">
      <x:c r="A52" s="31" t="str">
        <x:v>价格异常识别</x:v>
      </x:c>
      <x:c r="B52" s="31" t="str">
        <x:v>A02</x:v>
      </x:c>
      <x:c r="C52" s="31" t="str">
        <x:v>横向同业价格异常检测</x:v>
      </x:c>
      <x:c r="D52" s="31" t="str">
        <x:v>对标多家供应商同一标的物的实时交易单价，智能筛查不同供应商间单价差值超20%的异常场景，识别偏离行业公允价格的交易行为，规避非公允异常贸易隐患。</x:v>
      </x:c>
      <x:c r="E52" s="31" t="str">
        <x:v>事中</x:v>
      </x:c>
      <x:c r="F52" s="31" t="str">
        <x:v>聚合</x:v>
      </x:c>
      <x:c r="G52" s="31" t="str">
        <x:v>商品/供应商/订单</x:v>
      </x:c>
      <x:c r="H52" s="31" t="str">
        <x:v>同标的跨供应商价差＞20%</x:v>
      </x:c>
      <x:c r="I52" s="31" t="str">
        <x:v>ERP采购、电子采购、商品主数据、市场价格</x:v>
      </x:c>
      <x:c r="J52" s="31" t="str">
        <x:v>待新增内部数据</x:v>
      </x:c>
      <x:c r="K52" s="31" t="str">
        <x:v>—</x:v>
      </x:c>
      <x:c r="L52" s="31" t="str">
        <x:v>PKG-03</x:v>
      </x:c>
      <x:c r="M52" s="31" t="str">
        <x:v>SCENE-PRICE-FINANCE</x:v>
      </x:c>
      <x:c r="N52" s="31" t="str">
        <x:v>P1</x:v>
      </x:c>
      <x:c r="O52" s="31" t="str">
        <x:v>写入风险模式目录，后续绑定场景版本与规则版本</x:v>
      </x:c>
    </x:row>
    <x:row r="53" ht="42" customHeight="1">
      <x:c r="A53" s="31" t="str">
        <x:v>围串标识别</x:v>
      </x:c>
      <x:c r="B53" s="31" t="str">
        <x:v>B01</x:v>
      </x:c>
      <x:c r="C53" s="31" t="str">
        <x:v>串通投标风险</x:v>
      </x:c>
      <x:c r="D53" s="31" t="str">
        <x:v>对电子投标全流程进行监测，核查各投标单位购买、下载、递交投标文件的IP或MAC地址是否一致；同时利用智能文本处理技术比对技术、商务、价格文件的文本相似率。</x:v>
      </x:c>
      <x:c r="E53" s="31" t="str">
        <x:v>事中</x:v>
      </x:c>
      <x:c r="F53" s="31" t="str">
        <x:v>高级表达式</x:v>
      </x:c>
      <x:c r="G53" s="31" t="str">
        <x:v>采购项目/投标/供应商</x:v>
      </x:c>
      <x:c r="H53" s="31" t="str">
        <x:v>关系、属性或业务时序组合判断</x:v>
      </x:c>
      <x:c r="I53" s="31" t="str">
        <x:v>电子采购、操作日志、工商任职、供应商主数据</x:v>
      </x:c>
      <x:c r="J53" s="31" t="str">
        <x:v>当前已覆盖</x:v>
      </x:c>
      <x:c r="K53" s="31" t="str">
        <x:v>CASE-003</x:v>
      </x:c>
      <x:c r="L53" s="31" t="str">
        <x:v>PKG-05</x:v>
      </x:c>
      <x:c r="M53" s="31" t="str">
        <x:v>SCENE-COLLUSIVE-BID</x:v>
      </x:c>
      <x:c r="N53" s="31" t="str">
        <x:v>P0</x:v>
      </x:c>
      <x:c r="O53" s="31" t="str">
        <x:v>写入风险模式目录，后续绑定场景版本与规则版本</x:v>
      </x:c>
    </x:row>
    <x:row r="54" ht="42" customHeight="1">
      <x:c r="A54" s="31" t="str">
        <x:v>围串标识别</x:v>
      </x:c>
      <x:c r="B54" s="31" t="str">
        <x:v>B02</x:v>
      </x:c>
      <x:c r="C54" s="31" t="str">
        <x:v>投标人之间存在关联关系</x:v>
      </x:c>
      <x:c r="D54" s="31" t="str">
        <x:v>对比参与投标或询比价单位是否具有相同股东、直接或间接投资、交叉持股、高管交叉任职，以及联系人、手机号、邮箱等信息雷同的情况。</x:v>
      </x:c>
      <x:c r="E54" s="31" t="str">
        <x:v>事中</x:v>
      </x:c>
      <x:c r="F54" s="31" t="str">
        <x:v>关系路径</x:v>
      </x:c>
      <x:c r="G54" s="31" t="str">
        <x:v>采购项目/投标/供应商</x:v>
      </x:c>
      <x:c r="H54" s="31" t="str">
        <x:v>关系、属性或业务时序组合判断</x:v>
      </x:c>
      <x:c r="I54" s="31" t="str">
        <x:v>电子采购、操作日志、工商任职、供应商主数据</x:v>
      </x:c>
      <x:c r="J54" s="31" t="str">
        <x:v>当前已覆盖</x:v>
      </x:c>
      <x:c r="K54" s="31" t="str">
        <x:v>CASE-004</x:v>
      </x:c>
      <x:c r="L54" s="31" t="str">
        <x:v>PKG-05</x:v>
      </x:c>
      <x:c r="M54" s="31" t="str">
        <x:v>SCENE-COLLUSIVE-BID</x:v>
      </x:c>
      <x:c r="N54" s="31" t="str">
        <x:v>P0</x:v>
      </x:c>
      <x:c r="O54" s="31" t="str">
        <x:v>写入风险模式目录，后续绑定场景版本与规则版本</x:v>
      </x:c>
    </x:row>
    <x:row r="55" ht="42" customHeight="1">
      <x:c r="A55" s="31" t="str">
        <x:v>围串标识别</x:v>
      </x:c>
      <x:c r="B55" s="31" t="str">
        <x:v>B03</x:v>
      </x:c>
      <x:c r="C55" s="31" t="str">
        <x:v>组团投标</x:v>
      </x:c>
      <x:c r="D55" s="31" t="str">
        <x:v>筛选系统内1年内参与投标或询比价三次以上的供应商，识别两家以上供应商共同参与同一标段三次以上，或供应商与关联企业群组反复共同投标的团伙化行为。</x:v>
      </x:c>
      <x:c r="E55" s="31" t="str">
        <x:v>事中</x:v>
      </x:c>
      <x:c r="F55" s="31" t="str">
        <x:v>聚合</x:v>
      </x:c>
      <x:c r="G55" s="31" t="str">
        <x:v>采购项目/投标/供应商</x:v>
      </x:c>
      <x:c r="H55" s="31" t="str">
        <x:v>1年内共同投标≥3次</x:v>
      </x:c>
      <x:c r="I55" s="31" t="str">
        <x:v>电子采购、操作日志、工商任职、供应商主数据</x:v>
      </x:c>
      <x:c r="J55" s="31" t="str">
        <x:v>当前已覆盖</x:v>
      </x:c>
      <x:c r="K55" s="31" t="str">
        <x:v>CASE-004（1年共同投标3次）</x:v>
      </x:c>
      <x:c r="L55" s="31" t="str">
        <x:v>PKG-05</x:v>
      </x:c>
      <x:c r="M55" s="31" t="str">
        <x:v>SCENE-COLLUSIVE-BID</x:v>
      </x:c>
      <x:c r="N55" s="31" t="str">
        <x:v>P0</x:v>
      </x:c>
      <x:c r="O55" s="31" t="str">
        <x:v>案例包数据已补齐，可生成正式规则版本和试跑任务</x:v>
      </x:c>
    </x:row>
    <x:row r="56" ht="42" customHeight="1">
      <x:c r="A56" s="31" t="str">
        <x:v>合同审查</x:v>
      </x:c>
      <x:c r="B56" s="31" t="str">
        <x:v>M101</x:v>
      </x:c>
      <x:c r="C56" s="31" t="str">
        <x:v>智能评标</x:v>
      </x:c>
      <x:c r="D56" s="31" t="str">
        <x:v>对各投标主体形成综合评分、评级结果与合作建议，为评审人员提供可解释的智能辅助意见。</x:v>
      </x:c>
      <x:c r="E56" s="31" t="str">
        <x:v>事中</x:v>
      </x:c>
      <x:c r="F56" s="31" t="str">
        <x:v>智能评估</x:v>
      </x:c>
      <x:c r="G56" s="31" t="str">
        <x:v>投标/合同</x:v>
      </x:c>
      <x:c r="H56" s="31" t="str">
        <x:v>关系、属性或业务时序组合判断</x:v>
      </x:c>
      <x:c r="I56" s="31" t="str">
        <x:v>电子采购、合同系统、制度条款库、AI审查服务</x:v>
      </x:c>
      <x:c r="J56" s="31" t="str">
        <x:v>当前已覆盖</x:v>
      </x:c>
      <x:c r="K56" s="31" t="str">
        <x:v>CASE-003/004（智能评分已生成）</x:v>
      </x:c>
      <x:c r="L56" s="31" t="str">
        <x:v>PKG-05</x:v>
      </x:c>
      <x:c r="M56" s="31" t="str">
        <x:v>SCENE-COLLUSIVE-BID</x:v>
      </x:c>
      <x:c r="N56" s="31" t="str">
        <x:v>P1</x:v>
      </x:c>
      <x:c r="O56" s="31" t="str">
        <x:v>智能评标结果已生成，可接评分卡和人工采纳流程</x:v>
      </x:c>
    </x:row>
    <x:row r="57" ht="42" customHeight="1">
      <x:c r="A57" s="32" t="str">
        <x:v>合同审查</x:v>
      </x:c>
      <x:c r="B57" s="32" t="str">
        <x:v>M102</x:v>
      </x:c>
      <x:c r="C57" s="32" t="str">
        <x:v>合同风险审查</x:v>
      </x:c>
      <x:c r="D57" s="32" t="str">
        <x:v>对合同法律风险进行筛查识别，并输出条款级风险提示、智能修改建议和审查依据。</x:v>
      </x:c>
      <x:c r="E57" s="32" t="str">
        <x:v>事前</x:v>
      </x:c>
      <x:c r="F57" s="32" t="str">
        <x:v>智能审查</x:v>
      </x:c>
      <x:c r="G57" s="32" t="str">
        <x:v>投标/合同</x:v>
      </x:c>
      <x:c r="H57" s="32" t="str">
        <x:v>关系、属性或业务时序组合判断</x:v>
      </x:c>
      <x:c r="I57" s="32" t="str">
        <x:v>电子采购、合同系统、制度条款库、AI审查服务</x:v>
      </x:c>
      <x:c r="J57" s="32" t="str">
        <x:v>智能能力输出</x:v>
      </x:c>
      <x:c r="K57" s="32" t="str">
        <x:v>—</x:v>
      </x:c>
      <x:c r="L57" s="32" t="str">
        <x:v>PKG-06</x:v>
      </x:c>
      <x:c r="M57" s="32" t="str">
        <x:v>SCENE-CONTRACT-AI</x:v>
      </x:c>
      <x:c r="N57" s="32" t="str">
        <x:v>P0</x:v>
      </x:c>
      <x:c r="O57" s="32" t="str">
        <x:v>能力服务配置；结果关联风险模式与业务对象</x:v>
      </x:c>
    </x:row>
  </x:sheetData>
  <x:mergeCells>
    <x:mergeCell ref="A1:O1"/>
    <x:mergeCell ref="A2:O2"/>
  </x:mergeCells>
  <x:conditionalFormatting sqref="E5:E57">
    <x:cfRule type="containsText" dxfId="10" priority="1" operator="containsText" text="事前"/>
    <x:cfRule type="containsText" dxfId="11" priority="2" operator="containsText" text="事中"/>
    <x:cfRule type="containsText" dxfId="12" priority="3" operator="containsText" text="事后"/>
  </x:conditionalFormatting>
  <x:conditionalFormatting sqref="J5:J57">
    <x:cfRule type="containsText" dxfId="13" priority="4" operator="containsText" text="当前已覆盖"/>
    <x:cfRule type="containsText" dxfId="14" priority="5" operator="containsText" text="部分覆盖"/>
    <x:cfRule type="containsText" dxfId="15" priority="6" operator="containsText" text="依赖外部数据"/>
    <x:cfRule type="containsText" dxfId="16" priority="7" operator="containsText" text="智能能力输出"/>
  </x:conditionalFormatting>
  <x:dataValidations count="1">
    <x:dataValidation type="list" sqref="N5:N57">
      <x:formula1>"P0,P1,P2"</x:formula1>
    </x:dataValidation>
  </x:dataValidations>
  <x:pageMargins left="0.7" right="0.7" top="0.75" bottom="0.75" header="0.3" footer="0.3"/>
  <x:tableParts count="1">
    <x:tablePart xmlns:r="http://schemas.openxmlformats.org/officeDocument/2006/relationships" r:id="R27d8515d1760412b"/>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8" hidden="0" customWidth="1"/>
    <x:col min="4" max="4" width="50" hidden="0" customWidth="1"/>
    <x:col min="5" max="5" width="10" hidden="0" customWidth="1"/>
    <x:col min="6" max="6" width="10" hidden="0" customWidth="1"/>
    <x:col min="7" max="7" width="12" hidden="0" customWidth="1"/>
    <x:col min="8" max="8" width="50" hidden="0" customWidth="1"/>
    <x:col min="9" max="9" width="40" hidden="0" customWidth="1"/>
    <x:col min="10" max="10" width="50" hidden="0" customWidth="1"/>
    <x:col min="11" max="11" width="12" hidden="0" customWidth="1"/>
    <x:col min="12" max="12" width="18" hidden="0" customWidth="1"/>
  </x:cols>
  <x:sheetData>
    <x:row r="1" ht="34" customHeight="1">
      <x:c r="A1" s="211" t="str">
        <x:v>风险模式到演示案例包的落地映射</x:v>
      </x:c>
      <x:c r="B1" s="211"/>
      <x:c r="C1" s="211"/>
      <x:c r="D1" s="211"/>
      <x:c r="E1" s="211"/>
      <x:c r="F1" s="211"/>
      <x:c r="G1" s="211"/>
      <x:c r="H1" s="211"/>
      <x:c r="I1" s="211"/>
      <x:c r="J1" s="211"/>
      <x:c r="K1" s="211"/>
      <x:c r="L1" s="211"/>
    </x:row>
    <x:row r="2" ht="34" customHeight="1">
      <x:c r="A2" s="215" t="str">
        <x:v>将53项模式归并为6个可讲述的演示案例包，避免为每项模式单独造一套孤立数据；模式数量和覆盖数量由“风险模式库”自动统计。</x:v>
      </x:c>
      <x:c r="B2" s="215"/>
      <x:c r="C2" s="215"/>
      <x:c r="D2" s="215"/>
      <x:c r="E2" s="215"/>
      <x:c r="F2" s="215"/>
      <x:c r="G2" s="215"/>
      <x:c r="H2" s="215"/>
      <x:c r="I2" s="215"/>
      <x:c r="J2" s="215"/>
      <x:c r="K2" s="215"/>
      <x:c r="L2" s="215"/>
    </x:row>
    <x:row r="4" ht="34" customHeight="1">
      <x:c r="A4" s="227" t="str">
        <x:v>案例包ID</x:v>
      </x:c>
      <x:c r="B4" s="228" t="str">
        <x:v>案例包名称</x:v>
      </x:c>
      <x:c r="C4" s="228" t="str">
        <x:v>复用现有案例</x:v>
      </x:c>
      <x:c r="D4" s="228" t="str">
        <x:v>演示目标</x:v>
      </x:c>
      <x:c r="E4" s="228" t="str">
        <x:v>模式数</x:v>
      </x:c>
      <x:c r="F4" s="228" t="str">
        <x:v>已覆盖数</x:v>
      </x:c>
      <x:c r="G4" s="228" t="str">
        <x:v>部分覆盖数</x:v>
      </x:c>
      <x:c r="H4" s="228" t="str">
        <x:v>需新增数据</x:v>
      </x:c>
      <x:c r="I4" s="228" t="str">
        <x:v>外部/能力依赖</x:v>
      </x:c>
      <x:c r="J4" s="228" t="str">
        <x:v>建议演示故事线</x:v>
      </x:c>
      <x:c r="K4" s="228" t="str">
        <x:v>建设顺序</x:v>
      </x:c>
      <x:c r="L4" s="229" t="str">
        <x:v>当前状态</x:v>
      </x:c>
    </x:row>
    <x:row r="5" ht="42" customHeight="1">
      <x:c r="A5" s="30" t="str">
        <x:v>PKG-01</x:v>
      </x:c>
      <x:c r="B5" s="30" t="str">
        <x:v>循环贸易与三流资金闭环</x:v>
      </x:c>
      <x:c r="C5" s="30" t="str">
        <x:v>CASE-006</x:v>
      </x:c>
      <x:c r="D5" s="30" t="str">
        <x:v>补充收支合同、上下游主体、应收预付、发票链和双向银行流水，形成空转循环贸易完整故事线</x:v>
      </x:c>
      <x:c r="E5" s="230" t="n">
        <x:f>COUNTIF('风险模式库'!$L$5:$L$70,A5)</x:f>
        <x:v>15</x:v>
      </x:c>
      <x:c r="F5" s="230" t="n">
        <x:f>COUNTIFS('风险模式库'!$L$5:$L$70,A5,'风险模式库'!$J$5:$J$70,"当前已覆盖")</x:f>
        <x:v>8</x:v>
      </x:c>
      <x:c r="G5" s="230" t="n">
        <x:f>COUNTIFS('风险模式库'!$L$5:$L$70,A5,'风险模式库'!$J$5:$J$70,"部分覆盖")</x:f>
        <x:v>2</x:v>
      </x:c>
      <x:c r="H5" s="30" t="str">
        <x:v>已补充客户、标的、两份销售合同、销售发票、应收预付、两笔回款和账户同源关系</x:v>
      </x:c>
      <x:c r="I5" s="30" t="str">
        <x:v>第一版无需新增外部数据；后续可扩展更多历史合同与银行流水</x:v>
      </x:c>
      <x:c r="J5" s="30" t="str">
        <x:v>采购—销售—应收预付—发票—同日付款回款—无交付证据已形成闭环</x:v>
      </x:c>
      <x:c r="K5" s="30" t="str">
        <x:v>第1批</x:v>
      </x:c>
      <x:c r="L5" s="30" t="str">
        <x:v>第一版数据已补齐</x:v>
      </x:c>
    </x:row>
    <x:row r="6" ht="42" customHeight="1">
      <x:c r="A6" s="31" t="str">
        <x:v>PKG-02</x:v>
      </x:c>
      <x:c r="B6" s="31" t="str">
        <x:v>高风险交易对手尽调</x:v>
      </x:c>
      <x:c r="C6" s="31" t="str">
        <x:v>CASE-003/004/005</x:v>
      </x:c>
      <x:c r="D6" s="31" t="str">
        <x:v>在现有壳企业与人员关联基础上，补齐工商司法、社保、黑名单、舆情、质押和历史履约数据</x:v>
      </x:c>
      <x:c r="E6" s="231" t="n">
        <x:f>COUNTIF('风险模式库'!$L$5:$L$70,A6)</x:f>
        <x:v>19</x:v>
      </x:c>
      <x:c r="F6" s="231" t="n">
        <x:f>COUNTIFS('风险模式库'!$L$5:$L$70,A6,'风险模式库'!$J$5:$J$70,"当前已覆盖")</x:f>
        <x:v>5</x:v>
      </x:c>
      <x:c r="G6" s="231" t="n">
        <x:f>COUNTIFS('风险模式库'!$L$5:$L$70,A6,'风险模式库'!$J$5:$J$70,"部分覆盖")</x:f>
        <x:v>4</x:v>
      </x:c>
      <x:c r="H6" s="31" t="str">
        <x:v>法定代表人、自然人股东、高管、社保月均、司法失信、黑名单、负面舆情</x:v>
      </x:c>
      <x:c r="I6" s="31" t="str">
        <x:v>工商司法、征信舆情、集团黑名单</x:v>
      </x:c>
      <x:c r="J6" s="31" t="str">
        <x:v>供应商准入时一次展示多维画像和关联穿透</x:v>
      </x:c>
      <x:c r="K6" s="31" t="str">
        <x:v>第2批</x:v>
      </x:c>
      <x:c r="L6" s="31" t="str">
        <x:v>需外部数据接入</x:v>
      </x:c>
    </x:row>
    <x:row r="7" ht="42" customHeight="1">
      <x:c r="A7" s="31" t="str">
        <x:v>PKG-03</x:v>
      </x:c>
      <x:c r="B7" s="31" t="str">
        <x:v>低毛利融资与价格异常</x:v>
      </x:c>
      <x:c r="C7" s="31" t="str">
        <x:v>CASE-007/008</x:v>
      </x:c>
      <x:c r="D7" s="31" t="str">
        <x:v>补充采销价格、商品数量、账期、历史价格、应收预付、付款计划和资产负债率</x:v>
      </x:c>
      <x:c r="E7" s="231" t="n">
        <x:f>COUNTIF('风险模式库'!$L$5:$L$70,A7)</x:f>
        <x:v>9</x:v>
      </x:c>
      <x:c r="F7" s="231" t="n">
        <x:f>COUNTIFS('风险模式库'!$L$5:$L$70,A7,'风险模式库'!$J$5:$J$70,"当前已覆盖")</x:f>
        <x:v>0</x:v>
      </x:c>
      <x:c r="G7" s="231" t="n">
        <x:f>COUNTIFS('风险模式库'!$L$5:$L$70,A7,'风险模式库'!$J$5:$J$70,"部分覆盖")</x:f>
        <x:v>2</x:v>
      </x:c>
      <x:c r="H7" s="31" t="str">
        <x:v>销售价格、采购价格、数量、账期、历史成交价、应收预付、合同付款计划、负债率</x:v>
      </x:c>
      <x:c r="I7" s="31" t="str">
        <x:v>ERP采销、合同、财务核算、财务报表</x:v>
      </x:c>
      <x:c r="J7" s="31" t="str">
        <x:v>展示低价差长账期、价格突变、超前付款和高负债叠加风险</x:v>
      </x:c>
      <x:c r="K7" s="31" t="str">
        <x:v>第3批</x:v>
      </x:c>
      <x:c r="L7" s="31" t="str">
        <x:v>待新增内部数据</x:v>
      </x:c>
    </x:row>
    <x:row r="8" ht="42" customHeight="1">
      <x:c r="A8" s="31" t="str">
        <x:v>PKG-04</x:v>
      </x:c>
      <x:c r="B8" s="31" t="str">
        <x:v>货权仓单与个人收款</x:v>
      </x:c>
      <x:c r="C8" s="31" t="str">
        <x:v>CASE-006/008</x:v>
      </x:c>
      <x:c r="D8" s="31" t="str">
        <x:v>在物流收货链路上增加交付数量、仓单、开具主体资质、交易所名单和收款账户类型</x:v>
      </x:c>
      <x:c r="E8" s="231" t="n">
        <x:f>COUNTIF('风险模式库'!$L$5:$L$70,A8)</x:f>
        <x:v>4</x:v>
      </x:c>
      <x:c r="F8" s="231" t="n">
        <x:f>COUNTIFS('风险模式库'!$L$5:$L$70,A8,'风险模式库'!$J$5:$J$70,"当前已覆盖")</x:f>
        <x:v>1</x:v>
      </x:c>
      <x:c r="G8" s="231" t="n">
        <x:f>COUNTIFS('风险模式库'!$L$5:$L$70,A8,'风险模式库'!$J$5:$J$70,"部分覆盖")</x:f>
        <x:v>0</x:v>
      </x:c>
      <x:c r="H8" s="31" t="str">
        <x:v>合同数量、交付数量、入库数量、仓单、仓库资质、账户类型</x:v>
      </x:c>
      <x:c r="I8" s="31" t="str">
        <x:v>WMS、物流、仓单系统、交易所名单、银行流水</x:v>
      </x:c>
      <x:c r="J8" s="31" t="str">
        <x:v>对比异常交易与合规对照的货权凭证完整性</x:v>
      </x:c>
      <x:c r="K8" s="31" t="str">
        <x:v>第4批</x:v>
      </x:c>
      <x:c r="L8" s="31" t="str">
        <x:v>需外部数据接入</x:v>
      </x:c>
    </x:row>
    <x:row r="9" ht="42" customHeight="1">
      <x:c r="A9" s="31" t="str">
        <x:v>PKG-05</x:v>
      </x:c>
      <x:c r="B9" s="31" t="str">
        <x:v>关联投标与智能评标</x:v>
      </x:c>
      <x:c r="C9" s="31" t="str">
        <x:v>CASE-003/004</x:v>
      </x:c>
      <x:c r="D9" s="31" t="str">
        <x:v>复用同IP、同设备、同控制人案例，补充股权比例、高管任职、联系方式、1年投标历史和评分指标</x:v>
      </x:c>
      <x:c r="E9" s="231" t="n">
        <x:f>COUNTIF('风险模式库'!$L$5:$L$70,A9)</x:f>
        <x:v>5</x:v>
      </x:c>
      <x:c r="F9" s="231" t="n">
        <x:f>COUNTIFS('风险模式库'!$L$5:$L$70,A9,'风险模式库'!$J$5:$J$70,"当前已覆盖")</x:f>
        <x:v>5</x:v>
      </x:c>
      <x:c r="G9" s="231" t="n">
        <x:f>COUNTIFS('风险模式库'!$L$5:$L$70,A9,'风险模式库'!$J$5:$J$70,"部分覆盖")</x:f>
        <x:v>0</x:v>
      </x:c>
      <x:c r="H9" s="31" t="str">
        <x:v>已补充交叉持股、自然人股东、高管重合、法人关联、3次历史共同投标和6条智能评分</x:v>
      </x:c>
      <x:c r="I9" s="31" t="str">
        <x:v>第一版使用虚构工商任职快照和电子投标历史；无需实时外部接口</x:v>
      </x:c>
      <x:c r="J9" s="31" t="str">
        <x:v>当前同IP同设备—股权人员关联—历史组团投标—智能评标D级已形成闭环</x:v>
      </x:c>
      <x:c r="K9" s="31" t="str">
        <x:v>第1批</x:v>
      </x:c>
      <x:c r="L9" s="31" t="str">
        <x:v>第一版数据已补齐</x:v>
      </x:c>
    </x:row>
    <x:row r="10" ht="42" customHeight="1">
      <x:c r="A10" s="32" t="str">
        <x:v>PKG-06</x:v>
      </x:c>
      <x:c r="B10" s="32" t="str">
        <x:v>合同智能审查</x:v>
      </x:c>
      <x:c r="C10" s="32" t="str">
        <x:v>CASE-007</x:v>
      </x:c>
      <x:c r="D10" s="32" t="str">
        <x:v>复用异常变更合同，补充条款级文本、制度规则、法律风险知识和修改建议</x:v>
      </x:c>
      <x:c r="E10" s="232" t="n">
        <x:f>COUNTIF('风险模式库'!$L$5:$L$70,A10)</x:f>
        <x:v>1</x:v>
      </x:c>
      <x:c r="F10" s="232" t="n">
        <x:f>COUNTIFS('风险模式库'!$L$5:$L$70,A10,'风险模式库'!$J$5:$J$70,"当前已覆盖")</x:f>
        <x:v>0</x:v>
      </x:c>
      <x:c r="G10" s="232" t="n">
        <x:f>COUNTIFS('风险模式库'!$L$5:$L$70,A10,'风险模式库'!$J$5:$J$70,"部分覆盖")</x:f>
        <x:v>0</x:v>
      </x:c>
      <x:c r="H10" s="32" t="str">
        <x:v>合同条款、标准模板、制度条款、历史审查意见与红线建议</x:v>
      </x:c>
      <x:c r="I10" s="32" t="str">
        <x:v>合同系统、制度库、AI审查服务</x:v>
      </x:c>
      <x:c r="J10" s="32" t="str">
        <x:v>展示条款识别—风险定位—修改建议—人工采纳闭环</x:v>
      </x:c>
      <x:c r="K10" s="32" t="str">
        <x:v>第2批</x:v>
      </x:c>
      <x:c r="L10" s="32" t="str">
        <x:v>智能能力设计</x:v>
      </x:c>
    </x:row>
  </x:sheetData>
  <x:mergeCells>
    <x:mergeCell ref="A1:L1"/>
    <x:mergeCell ref="A2:L2"/>
  </x:mergeCells>
  <x:conditionalFormatting sqref="L5:L10">
    <x:cfRule type="containsText" dxfId="17" priority="1" operator="containsText" text="可扩展"/>
    <x:cfRule type="containsText" dxfId="18" priority="2" operator="containsText" text="外部数据"/>
    <x:cfRule type="containsText" dxfId="19" priority="3" operator="containsText" text="智能能力"/>
  </x:conditionalFormatting>
  <x:pageMargins left="0.7" right="0.7" top="0.75" bottom="0.75" header="0.3" footer="0.3"/>
  <x:tableParts count="1">
    <x:tablePart xmlns:r="http://schemas.openxmlformats.org/officeDocument/2006/relationships" r:id="Re0b824e1f7844b1d"/>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8" hidden="0" customWidth="1"/>
    <x:col min="4" max="4" width="32" hidden="0" customWidth="1"/>
    <x:col min="5" max="5" width="48" hidden="0" customWidth="1"/>
    <x:col min="6" max="6" width="56" hidden="0" customWidth="1"/>
    <x:col min="7" max="7" width="62" hidden="0" customWidth="1"/>
    <x:col min="8" max="8" width="50" hidden="0" customWidth="1"/>
    <x:col min="9" max="9" width="36" hidden="0" customWidth="1"/>
    <x:col min="10" max="10" width="58" hidden="0" customWidth="1"/>
    <x:col min="11" max="11" width="52" hidden="0" customWidth="1"/>
    <x:col min="12" max="12" width="18" hidden="0" customWidth="1"/>
  </x:cols>
  <x:sheetData>
    <x:row r="1" ht="34" customHeight="1">
      <x:c r="A1" s="293" t="str">
        <x:v>优先案例包完善结果</x:v>
      </x:c>
      <x:c r="B1" s="293"/>
      <x:c r="C1" s="293"/>
      <x:c r="D1" s="293"/>
      <x:c r="E1" s="293"/>
      <x:c r="F1" s="293"/>
      <x:c r="G1" s="293"/>
      <x:c r="H1" s="293"/>
      <x:c r="I1" s="293"/>
      <x:c r="J1" s="293"/>
      <x:c r="K1" s="293"/>
      <x:c r="L1" s="293"/>
    </x:row>
    <x:row r="2" ht="34" customHeight="1">
      <x:c r="A2" s="297" t="str">
        <x:v>PKG-05和PKG-01已从补数计划升级为可演示的第一版数据包；本表描述故事线、补充数据、演示步骤和验收标准。</x:v>
      </x:c>
      <x:c r="B2" s="297"/>
      <x:c r="C2" s="297"/>
      <x:c r="D2" s="297"/>
      <x:c r="E2" s="297"/>
      <x:c r="F2" s="297"/>
      <x:c r="G2" s="297"/>
      <x:c r="H2" s="297"/>
      <x:c r="I2" s="297"/>
      <x:c r="J2" s="297"/>
      <x:c r="K2" s="297"/>
      <x:c r="L2" s="297"/>
    </x:row>
    <x:row r="4" ht="34" customHeight="1">
      <x:c r="A4" s="309" t="str">
        <x:v>案例包ID</x:v>
      </x:c>
      <x:c r="B4" s="310" t="str">
        <x:v>案例包名称</x:v>
      </x:c>
      <x:c r="C4" s="310" t="str">
        <x:v>基础案例</x:v>
      </x:c>
      <x:c r="D4" s="310" t="str">
        <x:v>覆盖模式</x:v>
      </x:c>
      <x:c r="E4" s="310" t="str">
        <x:v>演示目标</x:v>
      </x:c>
      <x:c r="F4" s="310" t="str">
        <x:v>本轮补充数据</x:v>
      </x:c>
      <x:c r="G4" s="310" t="str">
        <x:v>核心图谱路径</x:v>
      </x:c>
      <x:c r="H4" s="310" t="str">
        <x:v>关键命中值</x:v>
      </x:c>
      <x:c r="I4" s="310" t="str">
        <x:v>预期结论</x:v>
      </x:c>
      <x:c r="J4" s="310" t="str">
        <x:v>页面演示步骤</x:v>
      </x:c>
      <x:c r="K4" s="310" t="str">
        <x:v>验收标准</x:v>
      </x:c>
      <x:c r="L4" s="311" t="str">
        <x:v>状态</x:v>
      </x:c>
    </x:row>
    <x:row r="5" ht="44" customHeight="1">
      <x:c r="A5" s="30" t="str">
        <x:v>PKG-05</x:v>
      </x:c>
      <x:c r="B5" s="30" t="str">
        <x:v>关联投标与智能评标</x:v>
      </x:c>
      <x:c r="C5" s="30" t="str">
        <x:v>CASE-003 / CASE-004</x:v>
      </x:c>
      <x:c r="D5" s="30" t="str">
        <x:v>102、104、105、106、B01、B02、B03、M101</x:v>
      </x:c>
      <x:c r="E5" s="30" t="str">
        <x:v>通过股权、人员、联系方式、IP设备、历史投标组合和智能评分形成多证据围串标链路</x:v>
      </x:c>
      <x:c r="F5" s="30" t="str">
        <x:v>新增2名人员、3个历史项目、9条历史投标、6条评标结果；补充交叉持股和高管/法人关系</x:v>
      </x:c>
      <x:c r="G5" s="30" t="str">
        <x:v>投标主体 → 交叉持股/共同股东/高管重合 → 历史共同投标3次 → 当前同IP同设备 → 智能评标D级</x:v>
      </x:c>
      <x:c r="H5" s="30" t="str">
        <x:v>3家供应商1年内共同投标3次；交叉持股10%-35%；共同自然人股东；高管重合；评标风险分92-97</x:v>
      </x:c>
      <x:c r="I5" s="30" t="str">
        <x:v>形成“暂停中标并核查”的智能合作建议</x:v>
      </x:c>
      <x:c r="J5" s="30" t="str">
        <x:v>1.打开项目图谱；2.展开投资与人员路径；3.查看历史共同投标；4.进入智能评标评分卡；5.生成核查任务</x:v>
      </x:c>
      <x:c r="K5" s="30" t="str">
        <x:v>模式数据齐全；节点、关系、事件可追溯；评分公式无错误；风险与合规建议可解释</x:v>
      </x:c>
      <x:c r="L5" s="30" t="str">
        <x:v>第一版数据已补齐</x:v>
      </x:c>
    </x:row>
    <x:row r="6" ht="44" customHeight="1">
      <x:c r="A6" s="32" t="str">
        <x:v>PKG-01</x:v>
      </x:c>
      <x:c r="B6" s="32" t="str">
        <x:v>循环贸易与三流资金闭环</x:v>
      </x:c>
      <x:c r="C6" s="32" t="str">
        <x:v>CASE-006</x:v>
      </x:c>
      <x:c r="D6" s="32" t="str">
        <x:v>101、103、202、401、501、503、605、606、701</x:v>
      </x:c>
      <x:c r="E6" s="32" t="str">
        <x:v>在既有无物流与资金回流案例上补齐采购合同、两份销售合同、应收预付、销售发票和双向账户流水</x:v>
      </x:c>
      <x:c r="F6" s="32" t="str">
        <x:v>新增客户、贸易标的、2份销售合同、2张销售发票、2笔回款、应收、预付和集团账户</x:v>
      </x:c>
      <x:c r="G6" s="32" t="str">
        <x:v>采购合同/销售合同同标的同数量 → 供应商与客户同信用代码 → 付款与回款账户同源 → 同日回流差额4.94% → 无完整交付</x:v>
      </x:c>
      <x:c r="H6" s="32" t="str">
        <x:v>采购486万元；销售486.03/486.02万元；60台同规格；同日回款462万元；金额差4.94%</x:v>
      </x:c>
      <x:c r="I6" s="32" t="str">
        <x:v>形成跨单位同标的、同主体采销、账户同源、三流不一致和无交付的组合预警</x:v>
      </x:c>
      <x:c r="J6" s="32" t="str">
        <x:v>1.对比三份合同；2.查看主体消歧；3.穿透发票和账户；4.查看同日资金流；5.回到物流验收缺失证据</x:v>
      </x:c>
      <x:c r="K6" s="32" t="str">
        <x:v>模式数据齐全；合同金额/数量/规格可比；资金时序一致；主体和账户路径可解释</x:v>
      </x:c>
      <x:c r="L6" s="32" t="str">
        <x:v>第一版数据已补齐</x:v>
      </x:c>
    </x:row>
  </x:sheetData>
  <x:mergeCells>
    <x:mergeCell ref="A1:L1"/>
    <x:mergeCell ref="A2:L2"/>
  </x:mergeCells>
  <x:conditionalFormatting sqref="L5:L6">
    <x:cfRule type="containsText" dxfId="20" priority="1" operator="containsText" text="已补齐"/>
  </x:conditionalFormatting>
  <x:pageMargins left="0.7" right="0.7" top="0.75" bottom="0.75" header="0.3" footer="0.3"/>
  <x:tableParts count="1">
    <x:tablePart xmlns:r="http://schemas.openxmlformats.org/officeDocument/2006/relationships" r:id="R4ce20ef207dc414c"/>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10" hidden="0" customWidth="1"/>
    <x:col min="3" max="3" width="30" hidden="0" customWidth="1"/>
    <x:col min="4" max="4" width="14" hidden="0" customWidth="1"/>
    <x:col min="5" max="5" width="22" hidden="0" customWidth="1"/>
    <x:col min="6" max="6" width="46" hidden="0" customWidth="1"/>
    <x:col min="7" max="7" width="56" hidden="0" customWidth="1"/>
    <x:col min="8" max="8" width="38" hidden="0" customWidth="1"/>
    <x:col min="9" max="9" width="12" hidden="0" customWidth="1"/>
    <x:col min="10" max="10" width="14" hidden="0" customWidth="1"/>
    <x:col min="11" max="11" width="16" hidden="0" customWidth="1"/>
  </x:cols>
  <x:sheetData>
    <x:row r="1" ht="34" customHeight="1">
      <x:c r="A1" s="293" t="str">
        <x:v>优先案例包模式与规则命中设计</x:v>
      </x:c>
      <x:c r="B1" s="293"/>
      <x:c r="C1" s="293"/>
      <x:c r="D1" s="293"/>
      <x:c r="E1" s="293"/>
      <x:c r="F1" s="293"/>
      <x:c r="G1" s="293"/>
      <x:c r="H1" s="293"/>
      <x:c r="I1" s="293"/>
      <x:c r="J1" s="293"/>
      <x:c r="K1" s="293"/>
    </x:row>
    <x:row r="2" ht="34" customHeight="1">
      <x:c r="A2" s="297" t="str">
        <x:v>14项模式已补充可运行的对象、条件、实际值和证据引用；本表用于评审后生成正式规则资产和试跑任务。</x:v>
      </x:c>
      <x:c r="B2" s="297"/>
      <x:c r="C2" s="297"/>
      <x:c r="D2" s="297"/>
      <x:c r="E2" s="297"/>
      <x:c r="F2" s="297"/>
      <x:c r="G2" s="297"/>
      <x:c r="H2" s="297"/>
      <x:c r="I2" s="297"/>
      <x:c r="J2" s="297"/>
      <x:c r="K2" s="297"/>
    </x:row>
    <x:row r="4" ht="34" customHeight="1">
      <x:c r="A4" s="309" t="str">
        <x:v>案例包ID</x:v>
      </x:c>
      <x:c r="B4" s="310" t="str">
        <x:v>模式编号</x:v>
      </x:c>
      <x:c r="C4" s="310" t="str">
        <x:v>模式名称</x:v>
      </x:c>
      <x:c r="D4" s="310" t="str">
        <x:v>规则类型</x:v>
      </x:c>
      <x:c r="E4" s="310" t="str">
        <x:v>目标对象</x:v>
      </x:c>
      <x:c r="F4" s="310" t="str">
        <x:v>规则条件</x:v>
      </x:c>
      <x:c r="G4" s="310" t="str">
        <x:v>演示实际值</x:v>
      </x:c>
      <x:c r="H4" s="310" t="str">
        <x:v>证据引用</x:v>
      </x:c>
      <x:c r="I4" s="310" t="str">
        <x:v>预期结果</x:v>
      </x:c>
      <x:c r="J4" s="310" t="str">
        <x:v>案例ID</x:v>
      </x:c>
      <x:c r="K4" s="311" t="str">
        <x:v>准备状态</x:v>
      </x:c>
    </x:row>
    <x:row r="5" ht="44" customHeight="1">
      <x:c r="A5" s="30" t="str">
        <x:v>PKG-05</x:v>
      </x:c>
      <x:c r="B5" s="30" t="str">
        <x:v>102</x:v>
      </x:c>
      <x:c r="C5" s="30" t="str">
        <x:v>投标比价单位交叉持股关联检测</x:v>
      </x:c>
      <x:c r="D5" s="30" t="str">
        <x:v>关系路径</x:v>
      </x:c>
      <x:c r="E5" s="30" t="str">
        <x:v>采购项目/供应商</x:v>
      </x:c>
      <x:c r="F5" s="30" t="str">
        <x:v>同一项目投标人之间存在直接、间接或循环持股</x:v>
      </x:c>
      <x:c r="G5" s="30" t="str">
        <x:v>SUP-C006→SUP-C007 35%；SUP-C007→SUP-C008 20%；SUP-C008→SUP-C006 10%</x:v>
      </x:c>
      <x:c r="H5" s="30" t="str">
        <x:v>REL-PKG5-006/007/008</x:v>
      </x:c>
      <x:c r="I5" s="30" t="str">
        <x:v>命中</x:v>
      </x:c>
      <x:c r="J5" s="30" t="str">
        <x:v>CASE-004</x:v>
      </x:c>
      <x:c r="K5" s="30" t="str">
        <x:v>数据已补齐</x:v>
      </x:c>
    </x:row>
    <x:row r="6" ht="44" customHeight="1">
      <x:c r="A6" s="31" t="str">
        <x:v>PKG-05</x:v>
      </x:c>
      <x:c r="B6" s="31" t="str">
        <x:v>104</x:v>
      </x:c>
      <x:c r="C6" s="31" t="str">
        <x:v>供应商法定代表人关联检测</x:v>
      </x:c>
      <x:c r="D6" s="31" t="str">
        <x:v>关系路径</x:v>
      </x:c>
      <x:c r="E6" s="31" t="str">
        <x:v>供应商/人员</x:v>
      </x:c>
      <x:c r="F6" s="31" t="str">
        <x:v>供应商法定代表人同时为甲方在岗顾问或人员</x:v>
      </x:c>
      <x:c r="G6" s="31" t="str">
        <x:v>王新国任ORG-SEC项目顾问，同时为SUP-C006法定代表人</x:v>
      </x:c>
      <x:c r="H6" s="31" t="str">
        <x:v>REL-PKG5-001/002</x:v>
      </x:c>
      <x:c r="I6" s="31" t="str">
        <x:v>命中</x:v>
      </x:c>
      <x:c r="J6" s="31" t="str">
        <x:v>CASE-004</x:v>
      </x:c>
      <x:c r="K6" s="31" t="str">
        <x:v>数据已补齐</x:v>
      </x:c>
    </x:row>
    <x:row r="7" ht="44" customHeight="1">
      <x:c r="A7" s="31" t="str">
        <x:v>PKG-05</x:v>
      </x:c>
      <x:c r="B7" s="31" t="str">
        <x:v>105</x:v>
      </x:c>
      <x:c r="C7" s="31" t="str">
        <x:v>供应商自然人股东关联检测</x:v>
      </x:c>
      <x:c r="D7" s="31" t="str">
        <x:v>关系路径</x:v>
      </x:c>
      <x:c r="E7" s="31" t="str">
        <x:v>供应商/人员</x:v>
      </x:c>
      <x:c r="F7" s="31" t="str">
        <x:v>同一自然人股东关联多个投标人并与甲方项目存在关联</x:v>
      </x:c>
      <x:c r="G7" s="31" t="str">
        <x:v>李强分别持有3家投标人42%、38%、31%股权</x:v>
      </x:c>
      <x:c r="H7" s="31" t="str">
        <x:v>REL-PKG5-003/004/005</x:v>
      </x:c>
      <x:c r="I7" s="31" t="str">
        <x:v>命中</x:v>
      </x:c>
      <x:c r="J7" s="31" t="str">
        <x:v>CASE-004</x:v>
      </x:c>
      <x:c r="K7" s="31" t="str">
        <x:v>数据已补齐</x:v>
      </x:c>
    </x:row>
    <x:row r="8" ht="44" customHeight="1">
      <x:c r="A8" s="31" t="str">
        <x:v>PKG-05</x:v>
      </x:c>
      <x:c r="B8" s="31" t="str">
        <x:v>106</x:v>
      </x:c>
      <x:c r="C8" s="31" t="str">
        <x:v>供应商高管人员关联检测</x:v>
      </x:c>
      <x:c r="D8" s="31" t="str">
        <x:v>关系路径</x:v>
      </x:c>
      <x:c r="E8" s="31" t="str">
        <x:v>供应商/人员</x:v>
      </x:c>
      <x:c r="F8" s="31" t="str">
        <x:v>同一高管在两家以上投标人任职</x:v>
      </x:c>
      <x:c r="G8" s="31" t="str">
        <x:v>周立同时担任SUP-C007董事和SUP-C008监事</x:v>
      </x:c>
      <x:c r="H8" s="31" t="str">
        <x:v>REL-PKG5-009/010</x:v>
      </x:c>
      <x:c r="I8" s="31" t="str">
        <x:v>命中</x:v>
      </x:c>
      <x:c r="J8" s="31" t="str">
        <x:v>CASE-004</x:v>
      </x:c>
      <x:c r="K8" s="31" t="str">
        <x:v>数据已补齐</x:v>
      </x:c>
    </x:row>
    <x:row r="9" ht="44" customHeight="1">
      <x:c r="A9" s="31" t="str">
        <x:v>PKG-05</x:v>
      </x:c>
      <x:c r="B9" s="31" t="str">
        <x:v>B03</x:v>
      </x:c>
      <x:c r="C9" s="31" t="str">
        <x:v>组团投标</x:v>
      </x:c>
      <x:c r="D9" s="31" t="str">
        <x:v>聚合</x:v>
      </x:c>
      <x:c r="E9" s="31" t="str">
        <x:v>采购项目/投标</x:v>
      </x:c>
      <x:c r="F9" s="31" t="str">
        <x:v>1年内同一供应商群组共同参与同一标段达到3次</x:v>
      </x:c>
      <x:c r="G9" s="31" t="str">
        <x:v>SUP-C006/C007/C008共同参与3个历史项目及当前项目</x:v>
      </x:c>
      <x:c r="H9" s="31" t="str">
        <x:v>BID-H001/H002/H003系列</x:v>
      </x:c>
      <x:c r="I9" s="31" t="str">
        <x:v>命中</x:v>
      </x:c>
      <x:c r="J9" s="31" t="str">
        <x:v>CASE-004</x:v>
      </x:c>
      <x:c r="K9" s="31" t="str">
        <x:v>数据已补齐</x:v>
      </x:c>
    </x:row>
    <x:row r="10" ht="44" customHeight="1">
      <x:c r="A10" s="31" t="str">
        <x:v>PKG-05</x:v>
      </x:c>
      <x:c r="B10" s="31" t="str">
        <x:v>M101</x:v>
      </x:c>
      <x:c r="C10" s="31" t="str">
        <x:v>智能评标</x:v>
      </x:c>
      <x:c r="D10" s="31" t="str">
        <x:v>智能评估</x:v>
      </x:c>
      <x:c r="E10" s="31" t="str">
        <x:v>投标/供应商</x:v>
      </x:c>
      <x:c r="F10" s="31" t="str">
        <x:v>融合业务得分与关联风险扣分形成综合评分、评级和建议</x:v>
      </x:c>
      <x:c r="G10" s="31" t="str">
        <x:v>6家投标人风险分92-97，评级均为D，建议暂停或排除</x:v>
      </x:c>
      <x:c r="H10" s="31" t="str">
        <x:v>EVAL-003A~EVAL-004C</x:v>
      </x:c>
      <x:c r="I10" s="31" t="str">
        <x:v>输出评估</x:v>
      </x:c>
      <x:c r="J10" s="31" t="str">
        <x:v>CASE-003/004</x:v>
      </x:c>
      <x:c r="K10" s="31" t="str">
        <x:v>数据已补齐</x:v>
      </x:c>
    </x:row>
    <x:row r="11" ht="44" customHeight="1">
      <x:c r="A11" s="31" t="str">
        <x:v>PKG-01</x:v>
      </x:c>
      <x:c r="B11" s="31" t="str">
        <x:v>101</x:v>
      </x:c>
      <x:c r="C11" s="31" t="str">
        <x:v>跨单位同标的收支合同检测</x:v>
      </x:c>
      <x:c r="D11" s="31" t="str">
        <x:v>高级表达式</x:v>
      </x:c>
      <x:c r="E11" s="31" t="str">
        <x:v>合同/贸易标的</x:v>
      </x:c>
      <x:c r="F11" s="31" t="str">
        <x:v>不同集团单位分别签订同标的同规格采购和销售合同</x:v>
      </x:c>
      <x:c r="G11" s="31" t="str">
        <x:v>ORG-INFRA采购CON-006；ORG-AFFIL销售CON-SALE-006A；均为X900/60台</x:v>
      </x:c>
      <x:c r="H11" s="31" t="str">
        <x:v>CON-006/CON-SALE-006A/ITEM-C006</x:v>
      </x:c>
      <x:c r="I11" s="31" t="str">
        <x:v>命中</x:v>
      </x:c>
      <x:c r="J11" s="31" t="str">
        <x:v>CASE-006</x:v>
      </x:c>
      <x:c r="K11" s="31" t="str">
        <x:v>数据已补齐</x:v>
      </x:c>
    </x:row>
    <x:row r="12" ht="44" customHeight="1">
      <x:c r="A12" s="31" t="str">
        <x:v>PKG-01</x:v>
      </x:c>
      <x:c r="B12" s="31" t="str">
        <x:v>103</x:v>
      </x:c>
      <x:c r="C12" s="31" t="str">
        <x:v>同主体同标的收支合同检测</x:v>
      </x:c>
      <x:c r="D12" s="31" t="str">
        <x:v>高级表达式</x:v>
      </x:c>
      <x:c r="E12" s="31" t="str">
        <x:v>合同/组织</x:v>
      </x:c>
      <x:c r="F12" s="31" t="str">
        <x:v>同一组织同时存在同标的采购与销售合同</x:v>
      </x:c>
      <x:c r="G12" s="31" t="str">
        <x:v>ORG-INFRA采购CON-006并销售CON-SALE-006B，同规格同数量</x:v>
      </x:c>
      <x:c r="H12" s="31" t="str">
        <x:v>CON-006/CON-SALE-006B</x:v>
      </x:c>
      <x:c r="I12" s="31" t="str">
        <x:v>命中</x:v>
      </x:c>
      <x:c r="J12" s="31" t="str">
        <x:v>CASE-006</x:v>
      </x:c>
      <x:c r="K12" s="31" t="str">
        <x:v>数据已补齐</x:v>
      </x:c>
    </x:row>
    <x:row r="13" ht="44" customHeight="1">
      <x:c r="A13" s="31" t="str">
        <x:v>PKG-01</x:v>
      </x:c>
      <x:c r="B13" s="31" t="str">
        <x:v>202</x:v>
      </x:c>
      <x:c r="C13" s="31" t="str">
        <x:v>同货同量小额价差采销检测</x:v>
      </x:c>
      <x:c r="D13" s="31" t="str">
        <x:v>聚合</x:v>
      </x:c>
      <x:c r="E13" s="31" t="str">
        <x:v>合同/贸易标的</x:v>
      </x:c>
      <x:c r="F13" s="31" t="str">
        <x:v>标的与数量相同，采销金额差低于0.01%</x:v>
      </x:c>
      <x:c r="G13" s="31" t="str">
        <x:v>采购4,860,000元；销售4,860,200元；差额0.0041%</x:v>
      </x:c>
      <x:c r="H13" s="31" t="str">
        <x:v>ITEM-C006及三份合同</x:v>
      </x:c>
      <x:c r="I13" s="31" t="str">
        <x:v>命中</x:v>
      </x:c>
      <x:c r="J13" s="31" t="str">
        <x:v>CASE-006</x:v>
      </x:c>
      <x:c r="K13" s="31" t="str">
        <x:v>数据已补齐</x:v>
      </x:c>
    </x:row>
    <x:row r="14" ht="44" customHeight="1">
      <x:c r="A14" s="31" t="str">
        <x:v>PKG-01</x:v>
      </x:c>
      <x:c r="B14" s="31" t="str">
        <x:v>401</x:v>
      </x:c>
      <x:c r="C14" s="31" t="str">
        <x:v>上下游签约主体同源检测</x:v>
      </x:c>
      <x:c r="D14" s="31" t="str">
        <x:v>关系路径</x:v>
      </x:c>
      <x:c r="E14" s="31" t="str">
        <x:v>供应商/客户</x:v>
      </x:c>
      <x:c r="F14" s="31" t="str">
        <x:v>上下游角色映射到同一统一社会信用代码</x:v>
      </x:c>
      <x:c r="G14" s="31" t="str">
        <x:v>SUP-C010与CUST-C006信用代码均为91320100DEMO0010X</x:v>
      </x:c>
      <x:c r="H14" s="31" t="str">
        <x:v>REL-PKG1-021</x:v>
      </x:c>
      <x:c r="I14" s="31" t="str">
        <x:v>命中</x:v>
      </x:c>
      <x:c r="J14" s="31" t="str">
        <x:v>CASE-006</x:v>
      </x:c>
      <x:c r="K14" s="31" t="str">
        <x:v>数据已补齐</x:v>
      </x:c>
    </x:row>
    <x:row r="15" ht="44" customHeight="1">
      <x:c r="A15" s="31" t="str">
        <x:v>PKG-01</x:v>
      </x:c>
      <x:c r="B15" s="31" t="str">
        <x:v>501</x:v>
      </x:c>
      <x:c r="C15" s="31" t="str">
        <x:v>短期客商双向收付款异常检测</x:v>
      </x:c>
      <x:c r="D15" s="31" t="str">
        <x:v>时序</x:v>
      </x:c>
      <x:c r="E15" s="31" t="str">
        <x:v>付款/应收预付</x:v>
      </x:c>
      <x:c r="F15" s="31" t="str">
        <x:v>15天内同一或关联主体存在付款和收款</x:v>
      </x:c>
      <x:c r="G15" s="31" t="str">
        <x:v>5月18日15:00付款486万元，17:20回款462万元</x:v>
      </x:c>
      <x:c r="H15" s="31" t="str">
        <x:v>PAY-006/PAY-COLLECT-006A</x:v>
      </x:c>
      <x:c r="I15" s="31" t="str">
        <x:v>命中</x:v>
      </x:c>
      <x:c r="J15" s="31" t="str">
        <x:v>CASE-006</x:v>
      </x:c>
      <x:c r="K15" s="31" t="str">
        <x:v>数据已补齐</x:v>
      </x:c>
    </x:row>
    <x:row r="16" ht="44" customHeight="1">
      <x:c r="A16" s="31" t="str">
        <x:v>PKG-01</x:v>
      </x:c>
      <x:c r="B16" s="31" t="str">
        <x:v>503</x:v>
      </x:c>
      <x:c r="C16" s="31" t="str">
        <x:v>三流主体信息不一致检测</x:v>
      </x:c>
      <x:c r="D16" s="31" t="str">
        <x:v>字段比对</x:v>
      </x:c>
      <x:c r="E16" s="31" t="str">
        <x:v>合同/发票/账户</x:v>
      </x:c>
      <x:c r="F16" s="31" t="str">
        <x:v>销售合同卖方、发票开具方和回款账户归属主体不一致</x:v>
      </x:c>
      <x:c r="G16" s="31" t="str">
        <x:v>卖方ORG-AFFIL，发票ORG-AFFIL，回款进入ORG-INFRA账户</x:v>
      </x:c>
      <x:c r="H16" s="31" t="str">
        <x:v>CON-SALE-006A/INV-SALE-006A/BA-GROUP-006</x:v>
      </x:c>
      <x:c r="I16" s="31" t="str">
        <x:v>命中</x:v>
      </x:c>
      <x:c r="J16" s="31" t="str">
        <x:v>CASE-006</x:v>
      </x:c>
      <x:c r="K16" s="31" t="str">
        <x:v>数据已补齐</x:v>
      </x:c>
    </x:row>
    <x:row r="17" ht="44" customHeight="1">
      <x:c r="A17" s="31" t="str">
        <x:v>PKG-01</x:v>
      </x:c>
      <x:c r="B17" s="31" t="str">
        <x:v>605</x:v>
      </x:c>
      <x:c r="C17" s="31" t="str">
        <x:v>上下游回款账户同源检测</x:v>
      </x:c>
      <x:c r="D17" s="31" t="str">
        <x:v>关系路径</x:v>
      </x:c>
      <x:c r="E17" s="31" t="str">
        <x:v>客户/供应商/账户</x:v>
      </x:c>
      <x:c r="F17" s="31" t="str">
        <x:v>上游供应商收款账户与下游客户回款账户相同</x:v>
      </x:c>
      <x:c r="G17" s="31" t="str">
        <x:v>SUP-C010收款账户与CUST-C006回款账户均为BA-SUP10</x:v>
      </x:c>
      <x:c r="H17" s="31" t="str">
        <x:v>REL-PKG1-018及既有BA-SUP10关系</x:v>
      </x:c>
      <x:c r="I17" s="31" t="str">
        <x:v>命中</x:v>
      </x:c>
      <x:c r="J17" s="31" t="str">
        <x:v>CASE-006</x:v>
      </x:c>
      <x:c r="K17" s="31" t="str">
        <x:v>数据已补齐</x:v>
      </x:c>
    </x:row>
    <x:row r="18" ht="44" customHeight="1">
      <x:c r="A18" s="32" t="str">
        <x:v>PKG-01</x:v>
      </x:c>
      <x:c r="B18" s="32" t="str">
        <x:v>606</x:v>
      </x:c>
      <x:c r="C18" s="32" t="str">
        <x:v>当日小额差额资金回流检测</x:v>
      </x:c>
      <x:c r="D18" s="32" t="str">
        <x:v>时序</x:v>
      </x:c>
      <x:c r="E18" s="32" t="str">
        <x:v>付款/银行账户</x:v>
      </x:c>
      <x:c r="F18" s="32" t="str">
        <x:v>付款与回款同日且金额差小于5%</x:v>
      </x:c>
      <x:c r="G18" s="32" t="str">
        <x:v>付款486万元；同日回款462万元；差额4.94%</x:v>
      </x:c>
      <x:c r="H18" s="32" t="str">
        <x:v>PAY-006/PAY-COLLECT-006A/REL-PKG1-025</x:v>
      </x:c>
      <x:c r="I18" s="32" t="str">
        <x:v>命中</x:v>
      </x:c>
      <x:c r="J18" s="32" t="str">
        <x:v>CASE-006</x:v>
      </x:c>
      <x:c r="K18" s="32" t="str">
        <x:v>数据已补齐</x:v>
      </x:c>
    </x:row>
  </x:sheetData>
  <x:mergeCells>
    <x:mergeCell ref="A1:K1"/>
    <x:mergeCell ref="A2:K2"/>
  </x:mergeCells>
  <x:conditionalFormatting sqref="K5:K18">
    <x:cfRule type="containsText" dxfId="21" priority="1" operator="containsText" text="已补齐"/>
  </x:conditionalFormatting>
  <x:pageMargins left="0.7" right="0.7" top="0.75" bottom="0.75" header="0.3" footer="0.3"/>
  <x:tableParts count="1">
    <x:tablePart xmlns:r="http://schemas.openxmlformats.org/officeDocument/2006/relationships" r:id="Rb9c5a37e6ff34f1a"/>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4" hidden="0" customWidth="1"/>
    <x:col min="4" max="4" width="14" hidden="0" customWidth="1"/>
    <x:col min="5" max="5" width="28" hidden="0" customWidth="1"/>
    <x:col min="6" max="6" width="10" hidden="0" customWidth="1"/>
    <x:col min="7" max="7" width="10" hidden="0" customWidth="1"/>
    <x:col min="8" max="8" width="10" hidden="0" customWidth="1"/>
    <x:col min="9" max="9" width="14" hidden="0" customWidth="1"/>
    <x:col min="10" max="10" width="12" hidden="0" customWidth="1"/>
    <x:col min="11" max="11" width="10" hidden="0" customWidth="1"/>
    <x:col min="12" max="12" width="10" hidden="0" customWidth="1"/>
    <x:col min="13" max="13" width="28" hidden="0" customWidth="1"/>
  </x:cols>
  <x:sheetData>
    <x:row r="1" ht="34" customHeight="1">
      <x:c r="A1" s="293" t="str">
        <x:v>PKG-05 智能评标评分卡</x:v>
      </x:c>
      <x:c r="B1" s="293"/>
      <x:c r="C1" s="293"/>
      <x:c r="D1" s="293"/>
      <x:c r="E1" s="293"/>
      <x:c r="F1" s="293"/>
      <x:c r="G1" s="293"/>
      <x:c r="H1" s="293"/>
      <x:c r="I1" s="293"/>
      <x:c r="J1" s="293"/>
      <x:c r="K1" s="293"/>
      <x:c r="L1" s="293"/>
      <x:c r="M1" s="293"/>
    </x:row>
    <x:row r="2" ht="34" customHeight="1">
      <x:c r="A2" s="297" t="str">
        <x:v>技术、商务、价格为业务输入，关联风险扣分来自图谱和历史投标信号；综合得分、评级和合作建议使用公式计算。</x:v>
      </x:c>
      <x:c r="B2" s="297"/>
      <x:c r="C2" s="297"/>
      <x:c r="D2" s="297"/>
      <x:c r="E2" s="297"/>
      <x:c r="F2" s="297"/>
      <x:c r="G2" s="297"/>
      <x:c r="H2" s="297"/>
      <x:c r="I2" s="297"/>
      <x:c r="J2" s="297"/>
      <x:c r="K2" s="297"/>
      <x:c r="L2" s="297"/>
      <x:c r="M2" s="297"/>
    </x:row>
    <x:row r="4" ht="34" customHeight="1">
      <x:c r="A4" s="323" t="str">
        <x:v>案例ID</x:v>
      </x:c>
      <x:c r="B4" s="324" t="str">
        <x:v>项目ID</x:v>
      </x:c>
      <x:c r="C4" s="324" t="str">
        <x:v>投标ID</x:v>
      </x:c>
      <x:c r="D4" s="324" t="str">
        <x:v>供应商ID</x:v>
      </x:c>
      <x:c r="E4" s="324" t="str">
        <x:v>供应商名称</x:v>
      </x:c>
      <x:c r="F4" s="324" t="str">
        <x:v>技术分</x:v>
      </x:c>
      <x:c r="G4" s="324" t="str">
        <x:v>商务分</x:v>
      </x:c>
      <x:c r="H4" s="324" t="str">
        <x:v>价格分</x:v>
      </x:c>
      <x:c r="I4" s="324" t="str">
        <x:v>关联风险扣分</x:v>
      </x:c>
      <x:c r="J4" s="324" t="str">
        <x:v>综合得分</x:v>
      </x:c>
      <x:c r="K4" s="324" t="str">
        <x:v>风险分</x:v>
      </x:c>
      <x:c r="L4" s="324" t="str">
        <x:v>评级</x:v>
      </x:c>
      <x:c r="M4" s="325" t="str">
        <x:v>合作建议</x:v>
      </x:c>
    </x:row>
    <x:row r="5" ht="44" customHeight="1">
      <x:c r="A5" s="30" t="str">
        <x:v>CASE-003</x:v>
      </x:c>
      <x:c r="B5" s="30" t="str">
        <x:v>PRJ-003</x:v>
      </x:c>
      <x:c r="C5" s="30" t="str">
        <x:v>BID-003A</x:v>
      </x:c>
      <x:c r="D5" s="30" t="str">
        <x:v>SUP-C003</x:v>
      </x:c>
      <x:c r="E5" s="30" t="str">
        <x:v>华夏数智系统有限公司</x:v>
      </x:c>
      <x:c r="F5" s="230" t="n">
        <x:v>26</x:v>
      </x:c>
      <x:c r="G5" s="230" t="n">
        <x:v>18</x:v>
      </x:c>
      <x:c r="H5" s="230" t="n">
        <x:v>22</x:v>
      </x:c>
      <x:c r="I5" s="230" t="n">
        <x:v>12</x:v>
      </x:c>
      <x:c r="J5" s="230" t="n">
        <x:f>F5+G5+H5-I5</x:f>
        <x:v>54</x:v>
      </x:c>
      <x:c r="K5" s="230" t="n">
        <x:v>92</x:v>
      </x:c>
      <x:c r="L5" s="30" t="str">
        <x:f>IF(K5&gt;=90,"D",IF(K5&gt;=75,"C",IF(K5&gt;=50,"B","A")))</x:f>
        <x:v>D</x:v>
      </x:c>
      <x:c r="M5" s="30" t="str">
        <x:f>IF(K5&gt;=90,"暂停并核查",IF(K5&gt;=75,"谨慎合作","可继续评审"))</x:f>
        <x:v>暂停并核查</x:v>
      </x:c>
    </x:row>
    <x:row r="6" ht="44" customHeight="1">
      <x:c r="A6" s="31" t="str">
        <x:v>CASE-003</x:v>
      </x:c>
      <x:c r="B6" s="31" t="str">
        <x:v>PRJ-003</x:v>
      </x:c>
      <x:c r="C6" s="31" t="str">
        <x:v>BID-003B</x:v>
      </x:c>
      <x:c r="D6" s="31" t="str">
        <x:v>SUP-C004</x:v>
      </x:c>
      <x:c r="E6" s="31" t="str">
        <x:v>中科云联信息有限公司</x:v>
      </x:c>
      <x:c r="F6" s="231" t="n">
        <x:v>20</x:v>
      </x:c>
      <x:c r="G6" s="231" t="n">
        <x:v>12</x:v>
      </x:c>
      <x:c r="H6" s="231" t="n">
        <x:v>18</x:v>
      </x:c>
      <x:c r="I6" s="231" t="n">
        <x:v>25</x:v>
      </x:c>
      <x:c r="J6" s="231" t="n">
        <x:f>F6+G6+H6-I6</x:f>
        <x:v>25</x:v>
      </x:c>
      <x:c r="K6" s="231" t="n">
        <x:v>96</x:v>
      </x:c>
      <x:c r="L6" s="31" t="str">
        <x:f>IF(K6&gt;=90,"D",IF(K6&gt;=75,"C",IF(K6&gt;=50,"B","A")))</x:f>
        <x:v>D</x:v>
      </x:c>
      <x:c r="M6" s="31" t="str">
        <x:f>IF(K6&gt;=90,"暂停并核查",IF(K6&gt;=75,"谨慎合作","可继续评审"))</x:f>
        <x:v>暂停并核查</x:v>
      </x:c>
    </x:row>
    <x:row r="7" ht="44" customHeight="1">
      <x:c r="A7" s="31" t="str">
        <x:v>CASE-003</x:v>
      </x:c>
      <x:c r="B7" s="31" t="str">
        <x:v>PRJ-003</x:v>
      </x:c>
      <x:c r="C7" s="31" t="str">
        <x:v>BID-003C</x:v>
      </x:c>
      <x:c r="D7" s="31" t="str">
        <x:v>SUP-C005</x:v>
      </x:c>
      <x:c r="E7" s="31" t="str">
        <x:v>国信软件服务有限公司</x:v>
      </x:c>
      <x:c r="F7" s="231" t="n">
        <x:v>21</x:v>
      </x:c>
      <x:c r="G7" s="231" t="n">
        <x:v>11</x:v>
      </x:c>
      <x:c r="H7" s="231" t="n">
        <x:v>17</x:v>
      </x:c>
      <x:c r="I7" s="231" t="n">
        <x:v>24</x:v>
      </x:c>
      <x:c r="J7" s="231" t="n">
        <x:f>F7+G7+H7-I7</x:f>
        <x:v>25</x:v>
      </x:c>
      <x:c r="K7" s="231" t="n">
        <x:v>95</x:v>
      </x:c>
      <x:c r="L7" s="31" t="str">
        <x:f>IF(K7&gt;=90,"D",IF(K7&gt;=75,"C",IF(K7&gt;=50,"B","A")))</x:f>
        <x:v>D</x:v>
      </x:c>
      <x:c r="M7" s="31" t="str">
        <x:f>IF(K7&gt;=90,"暂停并核查",IF(K7&gt;=75,"谨慎合作","可继续评审"))</x:f>
        <x:v>暂停并核查</x:v>
      </x:c>
    </x:row>
    <x:row r="8" ht="44" customHeight="1">
      <x:c r="A8" s="31" t="str">
        <x:v>CASE-004</x:v>
      </x:c>
      <x:c r="B8" s="31" t="str">
        <x:v>PRJ-004</x:v>
      </x:c>
      <x:c r="C8" s="31" t="str">
        <x:v>BID-004A</x:v>
      </x:c>
      <x:c r="D8" s="31" t="str">
        <x:v>SUP-C006</x:v>
      </x:c>
      <x:c r="E8" s="31" t="str">
        <x:v>安信网络技术有限公司</x:v>
      </x:c>
      <x:c r="F8" s="231" t="n">
        <x:v>25</x:v>
      </x:c>
      <x:c r="G8" s="231" t="n">
        <x:v>17</x:v>
      </x:c>
      <x:c r="H8" s="231" t="n">
        <x:v>24</x:v>
      </x:c>
      <x:c r="I8" s="231" t="n">
        <x:v>20</x:v>
      </x:c>
      <x:c r="J8" s="231" t="n">
        <x:f>F8+G8+H8-I8</x:f>
        <x:v>46</x:v>
      </x:c>
      <x:c r="K8" s="231" t="n">
        <x:v>97</x:v>
      </x:c>
      <x:c r="L8" s="31" t="str">
        <x:f>IF(K8&gt;=90,"D",IF(K8&gt;=75,"C",IF(K8&gt;=50,"B","A")))</x:f>
        <x:v>D</x:v>
      </x:c>
      <x:c r="M8" s="31" t="str">
        <x:f>IF(K8&gt;=90,"暂停并核查",IF(K8&gt;=75,"谨慎合作","可继续评审"))</x:f>
        <x:v>暂停并核查</x:v>
      </x:c>
    </x:row>
    <x:row r="9" ht="44" customHeight="1">
      <x:c r="A9" s="31" t="str">
        <x:v>CASE-004</x:v>
      </x:c>
      <x:c r="B9" s="31" t="str">
        <x:v>PRJ-004</x:v>
      </x:c>
      <x:c r="C9" s="31" t="str">
        <x:v>BID-004B</x:v>
      </x:c>
      <x:c r="D9" s="31" t="str">
        <x:v>SUP-C007</x:v>
      </x:c>
      <x:c r="E9" s="31" t="str">
        <x:v>博远信息系统有限公司</x:v>
      </x:c>
      <x:c r="F9" s="231" t="n">
        <x:v>24</x:v>
      </x:c>
      <x:c r="G9" s="231" t="n">
        <x:v>16</x:v>
      </x:c>
      <x:c r="H9" s="231" t="n">
        <x:v>23</x:v>
      </x:c>
      <x:c r="I9" s="231" t="n">
        <x:v>22</x:v>
      </x:c>
      <x:c r="J9" s="231" t="n">
        <x:f>F9+G9+H9-I9</x:f>
        <x:v>41</x:v>
      </x:c>
      <x:c r="K9" s="231" t="n">
        <x:v>96</x:v>
      </x:c>
      <x:c r="L9" s="31" t="str">
        <x:f>IF(K9&gt;=90,"D",IF(K9&gt;=75,"C",IF(K9&gt;=50,"B","A")))</x:f>
        <x:v>D</x:v>
      </x:c>
      <x:c r="M9" s="31" t="str">
        <x:f>IF(K9&gt;=90,"暂停并核查",IF(K9&gt;=75,"谨慎合作","可继续评审"))</x:f>
        <x:v>暂停并核查</x:v>
      </x:c>
    </x:row>
    <x:row r="10" ht="44" customHeight="1">
      <x:c r="A10" s="32" t="str">
        <x:v>CASE-004</x:v>
      </x:c>
      <x:c r="B10" s="32" t="str">
        <x:v>PRJ-004</x:v>
      </x:c>
      <x:c r="C10" s="32" t="str">
        <x:v>BID-004C</x:v>
      </x:c>
      <x:c r="D10" s="32" t="str">
        <x:v>SUP-C008</x:v>
      </x:c>
      <x:c r="E10" s="32" t="str">
        <x:v>同创科技发展有限公司</x:v>
      </x:c>
      <x:c r="F10" s="232" t="n">
        <x:v>23</x:v>
      </x:c>
      <x:c r="G10" s="232" t="n">
        <x:v>15</x:v>
      </x:c>
      <x:c r="H10" s="232" t="n">
        <x:v>22</x:v>
      </x:c>
      <x:c r="I10" s="232" t="n">
        <x:v>23</x:v>
      </x:c>
      <x:c r="J10" s="232" t="n">
        <x:f>F10+G10+H10-I10</x:f>
        <x:v>37</x:v>
      </x:c>
      <x:c r="K10" s="232" t="n">
        <x:v>96</x:v>
      </x:c>
      <x:c r="L10" s="32" t="str">
        <x:f>IF(K10&gt;=90,"D",IF(K10&gt;=75,"C",IF(K10&gt;=50,"B","A")))</x:f>
        <x:v>D</x:v>
      </x:c>
      <x:c r="M10" s="32" t="str">
        <x:f>IF(K10&gt;=90,"暂停并核查",IF(K10&gt;=75,"谨慎合作","可继续评审"))</x:f>
        <x:v>暂停并核查</x:v>
      </x:c>
    </x:row>
  </x:sheetData>
  <x:mergeCells>
    <x:mergeCell ref="A1:M1"/>
    <x:mergeCell ref="A2:M2"/>
  </x:mergeCells>
  <x:conditionalFormatting sqref="K5:K10">
    <x:cfRule type="colorScale" priority="1">
      <x:colorScale>
        <x:cfvo type="min"/>
        <x:cfvo type="percentile" val="50"/>
        <x:cfvo type="max"/>
        <x:color rgb="FFE2F0D9"/>
        <x:color rgb="FFFFF2CC"/>
        <x:color rgb="FFC00000"/>
      </x:colorScale>
    </x:cfRule>
  </x:conditionalFormatting>
  <x:pageMargins left="0.7" right="0.7" top="0.75" bottom="0.75" header="0.3" footer="0.3"/>
  <x:tableParts count="1">
    <x:tablePart xmlns:r="http://schemas.openxmlformats.org/officeDocument/2006/relationships" r:id="Ra2edec630a444e25"/>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6" hidden="0" customWidth="1"/>
    <x:col min="2" max="2" width="14" hidden="0" customWidth="1"/>
    <x:col min="3" max="3" width="16" hidden="0" customWidth="1"/>
    <x:col min="4" max="4" width="16" hidden="0" customWidth="1"/>
    <x:col min="5" max="5" width="26" hidden="0" customWidth="1"/>
    <x:col min="6" max="6" width="24" hidden="0" customWidth="1"/>
    <x:col min="7" max="7" width="10" hidden="0" customWidth="1"/>
    <x:col min="8" max="8" width="12" hidden="0" customWidth="1"/>
    <x:col min="9" max="9" width="14" hidden="0" customWidth="1"/>
    <x:col min="10" max="10" width="10" hidden="0" customWidth="1"/>
    <x:col min="11" max="11" width="19" hidden="0" customWidth="1"/>
    <x:col min="12" max="12" width="16" hidden="0" customWidth="1"/>
    <x:col min="13" max="13" width="16" hidden="0" customWidth="1"/>
    <x:col min="14" max="14" width="24" hidden="0" customWidth="1"/>
    <x:col min="15" max="15" width="36" hidden="0" customWidth="1"/>
  </x:cols>
  <x:sheetData>
    <x:row r="1" ht="34" customHeight="1">
      <x:c r="A1" s="293" t="str">
        <x:v>PKG-01 循环贸易合同与资金明细</x:v>
      </x:c>
      <x:c r="B1" s="293"/>
      <x:c r="C1" s="293"/>
      <x:c r="D1" s="293"/>
      <x:c r="E1" s="293"/>
      <x:c r="F1" s="293"/>
      <x:c r="G1" s="293"/>
      <x:c r="H1" s="293"/>
      <x:c r="I1" s="293"/>
      <x:c r="J1" s="293"/>
      <x:c r="K1" s="293"/>
      <x:c r="L1" s="293"/>
      <x:c r="M1" s="293"/>
      <x:c r="N1" s="293"/>
      <x:c r="O1" s="293"/>
    </x:row>
    <x:row r="2" ht="34" customHeight="1">
      <x:c r="A2" s="297" t="str">
        <x:v>同一标的、数量、主体角色和账户在采购、销售、应收预付、付款回款之间形成可比链路；所有数据均为虚构演示。</x:v>
      </x:c>
      <x:c r="B2" s="297"/>
      <x:c r="C2" s="297"/>
      <x:c r="D2" s="297"/>
      <x:c r="E2" s="297"/>
      <x:c r="F2" s="297"/>
      <x:c r="G2" s="297"/>
      <x:c r="H2" s="297"/>
      <x:c r="I2" s="297"/>
      <x:c r="J2" s="297"/>
      <x:c r="K2" s="297"/>
      <x:c r="L2" s="297"/>
      <x:c r="M2" s="297"/>
      <x:c r="N2" s="297"/>
      <x:c r="O2" s="297"/>
    </x:row>
    <x:row r="4" ht="34" customHeight="1">
      <x:c r="A4" s="323" t="str">
        <x:v>业务ID</x:v>
      </x:c>
      <x:c r="B4" s="324" t="str">
        <x:v>业务类型</x:v>
      </x:c>
      <x:c r="C4" s="324" t="str">
        <x:v>内部组织</x:v>
      </x:c>
      <x:c r="D4" s="324" t="str">
        <x:v>交易对手</x:v>
      </x:c>
      <x:c r="E4" s="324" t="str">
        <x:v>标的名称</x:v>
      </x:c>
      <x:c r="F4" s="324" t="str">
        <x:v>规格</x:v>
      </x:c>
      <x:c r="G4" s="324" t="str">
        <x:v>数量</x:v>
      </x:c>
      <x:c r="H4" s="324" t="str">
        <x:v>单价</x:v>
      </x:c>
      <x:c r="I4" s="324" t="str">
        <x:v>金额</x:v>
      </x:c>
      <x:c r="J4" s="324" t="str">
        <x:v>方向</x:v>
      </x:c>
      <x:c r="K4" s="324" t="str">
        <x:v>业务时间</x:v>
      </x:c>
      <x:c r="L4" s="324" t="str">
        <x:v>来源账户</x:v>
      </x:c>
      <x:c r="M4" s="324" t="str">
        <x:v>目标账户</x:v>
      </x:c>
      <x:c r="N4" s="324" t="str">
        <x:v>关联模式</x:v>
      </x:c>
      <x:c r="O4" s="325" t="str">
        <x:v>证据结论</x:v>
      </x:c>
    </x:row>
    <x:row r="5" ht="44" customHeight="1">
      <x:c r="A5" s="30" t="str">
        <x:v>CON-006</x:v>
      </x:c>
      <x:c r="B5" s="30" t="str">
        <x:v>采购合同</x:v>
      </x:c>
      <x:c r="C5" s="30" t="str">
        <x:v>ORG-INFRA</x:v>
      </x:c>
      <x:c r="D5" s="30" t="str">
        <x:v>SUP-C010</x:v>
      </x:c>
      <x:c r="E5" s="30" t="str">
        <x:v>企业级存储阵列X900</x:v>
      </x:c>
      <x:c r="F5" s="30" t="str">
        <x:v>X900/16TB/双控</x:v>
      </x:c>
      <x:c r="G5" s="326" t="n">
        <x:v>60</x:v>
      </x:c>
      <x:c r="H5" s="326" t="n">
        <x:v>81000</x:v>
      </x:c>
      <x:c r="I5" s="326" t="n">
        <x:v>4860000</x:v>
      </x:c>
      <x:c r="J5" s="30" t="str">
        <x:v>付款</x:v>
      </x:c>
      <x:c r="K5" s="68" t="str">
        <x:v>2026-05-10 10:00:00</x:v>
      </x:c>
      <x:c r="L5" s="30" t="str">
        <x:v>BA-GROUP-006</x:v>
      </x:c>
      <x:c r="M5" s="30" t="str">
        <x:v>BA-SUP10</x:v>
      </x:c>
      <x:c r="N5" s="30" t="str">
        <x:v>101/103/202/501/605/606</x:v>
      </x:c>
      <x:c r="O5" s="30" t="str">
        <x:v>采购基准合同</x:v>
      </x:c>
    </x:row>
    <x:row r="6" ht="44" customHeight="1">
      <x:c r="A6" s="31" t="str">
        <x:v>CON-SALE-006A</x:v>
      </x:c>
      <x:c r="B6" s="31" t="str">
        <x:v>销售合同</x:v>
      </x:c>
      <x:c r="C6" s="31" t="str">
        <x:v>ORG-AFFIL</x:v>
      </x:c>
      <x:c r="D6" s="31" t="str">
        <x:v>CUST-C006</x:v>
      </x:c>
      <x:c r="E6" s="31" t="str">
        <x:v>企业级存储阵列X900</x:v>
      </x:c>
      <x:c r="F6" s="31" t="str">
        <x:v>X900/16TB/双控</x:v>
      </x:c>
      <x:c r="G6" s="327" t="n">
        <x:v>60</x:v>
      </x:c>
      <x:c r="H6" s="327" t="n">
        <x:v>81005</x:v>
      </x:c>
      <x:c r="I6" s="327" t="n">
        <x:v>4860300</x:v>
      </x:c>
      <x:c r="J6" s="31" t="str">
        <x:v>收款</x:v>
      </x:c>
      <x:c r="K6" s="69" t="str">
        <x:v>2026-05-11 10:00:00</x:v>
      </x:c>
      <x:c r="L6" s="31" t="str">
        <x:v>BA-SUP10</x:v>
      </x:c>
      <x:c r="M6" s="31" t="str">
        <x:v>BA-GROUP-006</x:v>
      </x:c>
      <x:c r="N6" s="31" t="str">
        <x:v>101/202/401/503/605</x:v>
      </x:c>
      <x:c r="O6" s="31" t="str">
        <x:v>跨单位同标的销售合同</x:v>
      </x:c>
    </x:row>
    <x:row r="7" ht="44" customHeight="1">
      <x:c r="A7" s="31" t="str">
        <x:v>CON-SALE-006B</x:v>
      </x:c>
      <x:c r="B7" s="31" t="str">
        <x:v>销售合同</x:v>
      </x:c>
      <x:c r="C7" s="31" t="str">
        <x:v>ORG-INFRA</x:v>
      </x:c>
      <x:c r="D7" s="31" t="str">
        <x:v>CUST-C006</x:v>
      </x:c>
      <x:c r="E7" s="31" t="str">
        <x:v>企业级存储阵列X900</x:v>
      </x:c>
      <x:c r="F7" s="31" t="str">
        <x:v>X900/16TB/双控</x:v>
      </x:c>
      <x:c r="G7" s="327" t="n">
        <x:v>60</x:v>
      </x:c>
      <x:c r="H7" s="327" t="n">
        <x:v>81003.3333</x:v>
      </x:c>
      <x:c r="I7" s="327" t="n">
        <x:v>4860200</x:v>
      </x:c>
      <x:c r="J7" s="31" t="str">
        <x:v>收款</x:v>
      </x:c>
      <x:c r="K7" s="69" t="str">
        <x:v>2026-05-12 10:00:00</x:v>
      </x:c>
      <x:c r="L7" s="31" t="str">
        <x:v>BA-SUP10</x:v>
      </x:c>
      <x:c r="M7" s="31" t="str">
        <x:v>BA-GROUP-006</x:v>
      </x:c>
      <x:c r="N7" s="31" t="str">
        <x:v>103/202/401/503</x:v>
      </x:c>
      <x:c r="O7" s="31" t="str">
        <x:v>同主体同标的销售合同</x:v>
      </x:c>
    </x:row>
    <x:row r="8" ht="44" customHeight="1">
      <x:c r="A8" s="31" t="str">
        <x:v>PP-006A</x:v>
      </x:c>
      <x:c r="B8" s="31" t="str">
        <x:v>预付记录</x:v>
      </x:c>
      <x:c r="C8" s="31" t="str">
        <x:v>ORG-INFRA</x:v>
      </x:c>
      <x:c r="D8" s="31" t="str">
        <x:v>SUP-C010</x:v>
      </x:c>
      <x:c r="E8" s="31" t="str">
        <x:v>企业级存储阵列X900</x:v>
      </x:c>
      <x:c r="F8" s="31" t="str">
        <x:v>X900/16TB/双控</x:v>
      </x:c>
      <x:c r="G8" s="327" t="n">
        <x:v>60</x:v>
      </x:c>
      <x:c r="H8" s="327" t="n">
        <x:v>81000</x:v>
      </x:c>
      <x:c r="I8" s="327" t="n">
        <x:v>4860000</x:v>
      </x:c>
      <x:c r="J8" s="31" t="str">
        <x:v>预付</x:v>
      </x:c>
      <x:c r="K8" s="69" t="str">
        <x:v>2026-05-12 12:00:00</x:v>
      </x:c>
      <x:c r="L8" s="31" t="str">
        <x:v>BA-GROUP-006</x:v>
      </x:c>
      <x:c r="M8" s="31" t="str">
        <x:v>BA-SUP10</x:v>
      </x:c>
      <x:c r="N8" s="31" t="str">
        <x:v>501/502</x:v>
      </x:c>
      <x:c r="O8" s="31" t="str">
        <x:v>采购预付余额</x:v>
      </x:c>
    </x:row>
    <x:row r="9" ht="44" customHeight="1">
      <x:c r="A9" s="31" t="str">
        <x:v>AR-006A</x:v>
      </x:c>
      <x:c r="B9" s="31" t="str">
        <x:v>应收记录</x:v>
      </x:c>
      <x:c r="C9" s="31" t="str">
        <x:v>ORG-AFFIL</x:v>
      </x:c>
      <x:c r="D9" s="31" t="str">
        <x:v>CUST-C006</x:v>
      </x:c>
      <x:c r="E9" s="31" t="str">
        <x:v>企业级存储阵列X900</x:v>
      </x:c>
      <x:c r="F9" s="31" t="str">
        <x:v>X900/16TB/双控</x:v>
      </x:c>
      <x:c r="G9" s="327" t="n">
        <x:v>60</x:v>
      </x:c>
      <x:c r="H9" s="327" t="n">
        <x:v>81005</x:v>
      </x:c>
      <x:c r="I9" s="327" t="n">
        <x:v>4860300</x:v>
      </x:c>
      <x:c r="J9" s="31" t="str">
        <x:v>应收</x:v>
      </x:c>
      <x:c r="K9" s="69" t="str">
        <x:v>2026-05-17 12:00:00</x:v>
      </x:c>
      <x:c r="L9" s="31" t="str">
        <x:v>BA-SUP10</x:v>
      </x:c>
      <x:c r="M9" s="31" t="str">
        <x:v>BA-GROUP-006</x:v>
      </x:c>
      <x:c r="N9" s="31" t="str">
        <x:v>501/502</x:v>
      </x:c>
      <x:c r="O9" s="31" t="str">
        <x:v>销售应收余额</x:v>
      </x:c>
    </x:row>
    <x:row r="10" ht="44" customHeight="1">
      <x:c r="A10" s="31" t="str">
        <x:v>PAY-006</x:v>
      </x:c>
      <x:c r="B10" s="31" t="str">
        <x:v>采购付款</x:v>
      </x:c>
      <x:c r="C10" s="31" t="str">
        <x:v>ORG-INFRA</x:v>
      </x:c>
      <x:c r="D10" s="31" t="str">
        <x:v>SUP-C010</x:v>
      </x:c>
      <x:c r="E10" s="31" t="str">
        <x:v>企业级存储阵列X900</x:v>
      </x:c>
      <x:c r="F10" s="31" t="str">
        <x:v>X900/16TB/双控</x:v>
      </x:c>
      <x:c r="G10" s="327" t="n">
        <x:v>60</x:v>
      </x:c>
      <x:c r="H10" s="327" t="n">
        <x:v>81000</x:v>
      </x:c>
      <x:c r="I10" s="327" t="n">
        <x:v>4860000</x:v>
      </x:c>
      <x:c r="J10" s="31" t="str">
        <x:v>付款</x:v>
      </x:c>
      <x:c r="K10" s="69" t="str">
        <x:v>2026-05-18 15:00:00</x:v>
      </x:c>
      <x:c r="L10" s="31" t="str">
        <x:v>BA-GROUP-006</x:v>
      </x:c>
      <x:c r="M10" s="31" t="str">
        <x:v>BA-SUP10</x:v>
      </x:c>
      <x:c r="N10" s="31" t="str">
        <x:v>501/605/606</x:v>
      </x:c>
      <x:c r="O10" s="31" t="str">
        <x:v>上游付款</x:v>
      </x:c>
    </x:row>
    <x:row r="11" ht="44" customHeight="1">
      <x:c r="A11" s="31" t="str">
        <x:v>PAY-COLLECT-006A</x:v>
      </x:c>
      <x:c r="B11" s="31" t="str">
        <x:v>销售回款</x:v>
      </x:c>
      <x:c r="C11" s="31" t="str">
        <x:v>ORG-INFRA</x:v>
      </x:c>
      <x:c r="D11" s="31" t="str">
        <x:v>CUST-C006</x:v>
      </x:c>
      <x:c r="E11" s="31" t="str">
        <x:v>企业级存储阵列X900</x:v>
      </x:c>
      <x:c r="F11" s="31" t="str">
        <x:v>X900/16TB/双控</x:v>
      </x:c>
      <x:c r="G11" s="327" t="n">
        <x:v>60</x:v>
      </x:c>
      <x:c r="H11" s="327" t="n">
        <x:v>77000</x:v>
      </x:c>
      <x:c r="I11" s="327" t="n">
        <x:v>4620000</x:v>
      </x:c>
      <x:c r="J11" s="31" t="str">
        <x:v>收款</x:v>
      </x:c>
      <x:c r="K11" s="69" t="str">
        <x:v>2026-05-18 17:20:00</x:v>
      </x:c>
      <x:c r="L11" s="31" t="str">
        <x:v>BA-SUP10</x:v>
      </x:c>
      <x:c r="M11" s="31" t="str">
        <x:v>BA-GROUP-006</x:v>
      </x:c>
      <x:c r="N11" s="31" t="str">
        <x:v>501/503/605/606</x:v>
      </x:c>
      <x:c r="O11" s="31" t="str">
        <x:v>同日回款，较付款差额4.94%</x:v>
      </x:c>
    </x:row>
    <x:row r="12" ht="44" customHeight="1">
      <x:c r="A12" s="32" t="str">
        <x:v>PAY-COLLECT-006B</x:v>
      </x:c>
      <x:c r="B12" s="32" t="str">
        <x:v>销售尾款</x:v>
      </x:c>
      <x:c r="C12" s="32" t="str">
        <x:v>ORG-INFRA</x:v>
      </x:c>
      <x:c r="D12" s="32" t="str">
        <x:v>CUST-C006</x:v>
      </x:c>
      <x:c r="E12" s="32" t="str">
        <x:v>企业级存储阵列X900</x:v>
      </x:c>
      <x:c r="F12" s="32" t="str">
        <x:v>X900/16TB/双控</x:v>
      </x:c>
      <x:c r="G12" s="328" t="n">
        <x:v>60</x:v>
      </x:c>
      <x:c r="H12" s="328" t="n">
        <x:v>4005</x:v>
      </x:c>
      <x:c r="I12" s="328" t="n">
        <x:v>240300</x:v>
      </x:c>
      <x:c r="J12" s="32" t="str">
        <x:v>收款</x:v>
      </x:c>
      <x:c r="K12" s="70" t="str">
        <x:v>2026-05-20 10:00:00</x:v>
      </x:c>
      <x:c r="L12" s="32" t="str">
        <x:v>BA-SUP10</x:v>
      </x:c>
      <x:c r="M12" s="32" t="str">
        <x:v>BA-GROUP-006</x:v>
      </x:c>
      <x:c r="N12" s="32" t="str">
        <x:v>501/503/605</x:v>
      </x:c>
      <x:c r="O12" s="32" t="str">
        <x:v>补足销售合同金额</x:v>
      </x:c>
    </x:row>
  </x:sheetData>
  <x:mergeCells>
    <x:mergeCell ref="A1:O1"/>
    <x:mergeCell ref="A2:O2"/>
  </x:mergeCells>
  <x:pageMargins left="0.7" right="0.7" top="0.75" bottom="0.75" header="0.3" footer="0.3"/>
  <x:tableParts count="1">
    <x:tablePart xmlns:r="http://schemas.openxmlformats.org/officeDocument/2006/relationships" r:id="R02a6b56638d24648"/>
  </x:tableParts>
</x:worksheet>
</file>