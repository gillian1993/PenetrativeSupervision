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5d25dce50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融合摘要" sheetId="1" r:id="Rc4f816fb770e4621"/>
    <x:sheet xmlns:r="http://schemas.openxmlformats.org/officeDocument/2006/relationships" name="模式目录" sheetId="2" r:id="R2d6652c350ed48a7"/>
    <x:sheet xmlns:r="http://schemas.openxmlformats.org/officeDocument/2006/relationships" name="原子规则" sheetId="3" r:id="R7f9ccb78e2a24f63"/>
    <x:sheet xmlns:r="http://schemas.openxmlformats.org/officeDocument/2006/relationships" name="模式规则绑定" sheetId="4" r:id="R0295a223fd0141cc"/>
    <x:sheet xmlns:r="http://schemas.openxmlformats.org/officeDocument/2006/relationships" name="场景目录" sheetId="5" r:id="R7e7ecc88f570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sz val="18"/>
      <x:color rgb="FFFFFFFF"/>
      <x:name val="Microsoft YaHei"/>
    </x:font>
    <x:font>
      <x:i/>
      <x:sz val="11"/>
      <x:color rgb="FF44546A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4"/>
      <x:color rgb="FF17365D"/>
      <x:name val="Microsoft YaHei"/>
    </x:font>
    <x:font>
      <x:b/>
      <x:sz val="11"/>
      <x:color rgb="FF17365D"/>
      <x:name val="Microsoft YaHei"/>
    </x:font>
    <x:font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6">
    <x:border/>
    <x:border>
      <x:right style="thin">
        <x:color rgb="FFB4C7E7"/>
      </x:right>
    </x:border>
    <x:border>
      <x:left style="thin">
        <x:color rgb="FFB4C7E7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3" xfId="0" applyNumberFormat="1" applyFont="1" applyFill="1" applyBorder="1"/>
    <x:xf numFmtId="200" fontId="4" fillId="0" borderId="4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0" fontId="5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/>
    <x:xf numFmtId="200" fontId="10" fillId="0" borderId="3" xfId="0" applyNumberFormat="1" applyFont="1" applyFill="1" applyBorder="1"/>
    <x:xf numFmtId="200" fontId="11" fillId="0" borderId="3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/>
    <x:xf numFmtId="200" fontId="10" fillId="0" borderId="4" xfId="0" applyNumberFormat="1" applyFont="1" applyFill="1" applyBorder="1"/>
    <x:xf numFmtId="200" fontId="11" fillId="0" borderId="4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3" xfId="0" applyNumberFormat="1" applyFont="1" applyFill="1" applyBorder="1"/>
    <x:xf numFmtId="0" fontId="12" fillId="0" borderId="4" xfId="0" applyNumberFormat="1" applyFont="1" applyFill="1" applyBorder="1"/>
    <x:xf numFmtId="0" fontId="12" fillId="0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368d618e74cae" /><Relationship Type="http://schemas.openxmlformats.org/officeDocument/2006/relationships/theme" Target="/xl/theme/theme1.xml" Id="R0299e69e7e2748d7" /><Relationship Type="http://schemas.openxmlformats.org/officeDocument/2006/relationships/sharedStrings" Target="/xl/sharedStrings.xml" Id="Rf3d4be8ae3b24e03" /><Relationship Type="http://schemas.openxmlformats.org/officeDocument/2006/relationships/worksheet" Target="/xl/worksheets/sheet1.xml" Id="Rc4f816fb770e4621" /><Relationship Type="http://schemas.openxmlformats.org/officeDocument/2006/relationships/worksheet" Target="/xl/worksheets/sheet2.xml" Id="R2d6652c350ed48a7" /><Relationship Type="http://schemas.openxmlformats.org/officeDocument/2006/relationships/worksheet" Target="/xl/worksheets/sheet3.xml" Id="R7f9ccb78e2a24f63" /><Relationship Type="http://schemas.openxmlformats.org/officeDocument/2006/relationships/worksheet" Target="/xl/worksheets/sheet4.xml" Id="R0295a223fd0141cc" /><Relationship Type="http://schemas.openxmlformats.org/officeDocument/2006/relationships/worksheet" Target="/xl/worksheets/sheet5.xml" Id="R7e7ecc88f57041bd" /></Relationships>
</file>

<file path=xl/tables/table1.xml><?xml version="1.0" encoding="utf-8"?>
<x:table xmlns:x="http://schemas.openxmlformats.org/spreadsheetml/2006/main" id="1" name="ModeCatalogTable" displayName="ModeCatalogTable" ref="A1:L64" headerRowCount="1" totalsRowCount="0" totalsRowShown="0">
  <x:tableColumns count="12">
    <x:tableColumn id="1" name="序号"/>
    <x:tableColumn id="2" name="模式类目"/>
    <x:tableColumn id="3" name="模式编号"/>
    <x:tableColumn id="4" name="模式名称"/>
    <x:tableColumn id="5" name="模式说明"/>
    <x:tableColumn id="6" name="来源"/>
    <x:tableColumn id="7" name="用户原编号"/>
    <x:tableColumn id="8" name="主场景编号"/>
    <x:tableColumn id="9" name="主场景名称"/>
    <x:tableColumn id="10" name="建议阶段"/>
    <x:tableColumn id="11" name="默认等级"/>
    <x:tableColumn id="12" name="当前覆盖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omicRuleTable" displayName="AtomicRuleTable" ref="A1:N83" headerRowCount="1" totalsRowCount="0" totalsRowShown="0">
  <x:tableColumns count="14">
    <x:tableColumn id="1" name="序号"/>
    <x:tableColumn id="2" name="主模式编号"/>
    <x:tableColumn id="3" name="原子规则编号"/>
    <x:tableColumn id="4" name="原子规则名称"/>
    <x:tableColumn id="5" name="规则类型"/>
    <x:tableColumn id="6" name="适用阶段"/>
    <x:tableColumn id="7" name="默认等级"/>
    <x:tableColumn id="8" name="规则逻辑"/>
    <x:tableColumn id="9" name="阈值/判定条件"/>
    <x:tableColumn id="10" name="数据来源"/>
    <x:tableColumn id="11" name="证据要求"/>
    <x:tableColumn id="12" name="规则状态"/>
    <x:tableColumn id="13" name="当前映射"/>
    <x:tableColumn id="14" name="共享模式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RuleBindingTable" displayName="ModeRuleBindingTable" ref="A1:D85" headerRowCount="1" totalsRowCount="0" totalsRowShown="0">
  <x:tableColumns count="4">
    <x:tableColumn id="1" name="序号"/>
    <x:tableColumn id="2" name="模式编号"/>
    <x:tableColumn id="3" name="原子规则编号"/>
    <x:tableColumn id="4" name="绑定类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eCatalogTable" displayName="SceneCatalogTable" ref="A1:H13" headerRowCount="1" totalsRowCount="0" totalsRowShown="0">
  <x:tableColumns count="8">
    <x:tableColumn id="1" name="序号"/>
    <x:tableColumn id="2" name="场景编号"/>
    <x:tableColumn id="3" name="场景名称"/>
    <x:tableColumn id="4" name="领域"/>
    <x:tableColumn id="5" name="主要阶段"/>
    <x:tableColumn id="6" name="场景说明"/>
    <x:tableColumn id="7" name="绑定模式编号"/>
    <x:tableColumn id="8" name="模式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eaa64bd4a949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af386933a34d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cbd8e0a9e74a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7d6f3da7e148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6" hidden="0" customWidth="1"/>
    <x:col min="5" max="5" width="10" hidden="0" customWidth="1"/>
    <x:col min="6" max="6" width="44" hidden="0" customWidth="1"/>
    <x:col min="7" max="7" width="18" hidden="0" customWidth="1"/>
    <x:col min="8" max="8" width="42" hidden="0" customWidth="1"/>
  </x:cols>
  <x:sheetData>
    <x:row r="1" ht="30" customHeight="1">
      <x:c r="A1" s="34" t="str">
        <x:v>采购与供应链风险模式—原子规则融合台账</x:v>
      </x:c>
      <x:c r="B1" s="34"/>
      <x:c r="C1" s="34"/>
      <x:c r="D1" s="34"/>
      <x:c r="E1" s="34"/>
      <x:c r="F1" s="34"/>
      <x:c r="G1" s="34"/>
      <x:c r="H1" s="34"/>
    </x:row>
    <x:row r="2" ht="30" customHeight="1">
      <x:c r="A2" s="34"/>
      <x:c r="B2" s="34"/>
      <x:c r="C2" s="34"/>
      <x:c r="D2" s="34"/>
      <x:c r="E2" s="34"/>
      <x:c r="F2" s="34"/>
      <x:c r="G2" s="34"/>
      <x:c r="H2" s="34"/>
    </x:row>
    <x:row r="3" ht="26.399999618530273" hidden="0" customHeight="1">
      <x:c r="A3" s="35" t="str">
        <x:v>口径：完整保留用户模式编号；融合补充模式使用正式编号；复杂模式拆分为可执行原子规则，并通过绑定表复用。当前文件仅用于审阅，不写线上数据库。</x:v>
      </x:c>
      <x:c r="B3" s="35"/>
      <x:c r="C3" s="35"/>
      <x:c r="D3" s="35"/>
      <x:c r="E3" s="35"/>
      <x:c r="F3" s="35"/>
      <x:c r="G3" s="35"/>
      <x:c r="H3" s="35"/>
    </x:row>
    <x:row r="4" ht="15" hidden="0" customHeight="1">
      <x:c r="A4" s="36"/>
      <x:c r="B4" s="36"/>
      <x:c r="C4" s="36"/>
      <x:c r="D4" s="36"/>
      <x:c r="E4" s="36"/>
      <x:c r="F4" s="36"/>
      <x:c r="G4" s="36"/>
      <x:c r="H4" s="36"/>
    </x:row>
    <x:row r="5" ht="26.399999618530273" hidden="0" customHeight="1">
      <x:c r="A5" s="37" t="str">
        <x:v>指标</x:v>
      </x:c>
      <x:c r="B5" s="38" t="str">
        <x:v>数量</x:v>
      </x:c>
      <x:c r="C5" s="36"/>
      <x:c r="D5" s="37" t="str">
        <x:v>原子规则状态</x:v>
      </x:c>
      <x:c r="E5" s="38" t="str">
        <x:v>数量</x:v>
      </x:c>
      <x:c r="F5" s="36"/>
      <x:c r="G5" s="37" t="str">
        <x:v>设计约束</x:v>
      </x:c>
      <x:c r="H5" s="38" t="str">
        <x:v>说明</x:v>
      </x:c>
    </x:row>
    <x:row r="6" ht="66" hidden="0" customHeight="1">
      <x:c r="A6" s="39" t="str">
        <x:v>模式总数</x:v>
      </x:c>
      <x:c r="B6" s="40" t="n">
        <x:f>COUNTA('模式目录'!$C$2:$C$200)</x:f>
        <x:v>63</x:v>
      </x:c>
      <x:c r="C6" s="36"/>
      <x:c r="D6" s="39" t="str">
        <x:v>已实现</x:v>
      </x:c>
      <x:c r="E6" s="41" t="n">
        <x:f>COUNTIF('原子规则'!$L$2:$L$300,D6)</x:f>
        <x:v>15</x:v>
      </x:c>
      <x:c r="F6" s="36"/>
      <x:c r="G6" s="42" t="str">
        <x:v>编号保留</x:v>
      </x:c>
      <x:c r="H6" s="42" t="str">
        <x:v>101、A01、B01、M101等用户编号不改名</x:v>
      </x:c>
    </x:row>
    <x:row r="7" ht="79.19999694824219" hidden="0" customHeight="1">
      <x:c r="A7" s="43" t="str">
        <x:v>用户原始模式</x:v>
      </x:c>
      <x:c r="B7" s="44" t="n">
        <x:f>COUNTIF('模式目录'!$F$2:$F$200,"用户提出")</x:f>
        <x:v>53</x:v>
      </x:c>
      <x:c r="C7" s="36"/>
      <x:c r="D7" s="43" t="str">
        <x:v>部分实现</x:v>
      </x:c>
      <x:c r="E7" s="45" t="n">
        <x:f>COUNTIF('原子规则'!$L$2:$L$300,D7)</x:f>
        <x:v>0</x:v>
      </x:c>
      <x:c r="F7" s="36"/>
      <x:c r="G7" s="46" t="str">
        <x:v>原子拆分</x:v>
      </x:c>
      <x:c r="H7" s="46" t="str">
        <x:v>B01、B02、B03等多条件模式拆为多条原子规则</x:v>
      </x:c>
    </x:row>
    <x:row r="8" ht="79.19999694824219" hidden="0" customHeight="1">
      <x:c r="A8" s="43" t="str">
        <x:v>融合补充模式</x:v>
      </x:c>
      <x:c r="B8" s="44" t="n">
        <x:f>COUNTIF('模式目录'!$F$2:$F$200,"融合补充")</x:f>
        <x:v>10</x:v>
      </x:c>
      <x:c r="C8" s="36"/>
      <x:c r="D8" s="43" t="str">
        <x:v>已有数据待规则化</x:v>
      </x:c>
      <x:c r="E8" s="45" t="n">
        <x:f>COUNTIF('原子规则'!$L$2:$L$300,D8)</x:f>
        <x:v>7</x:v>
      </x:c>
      <x:c r="F8" s="36"/>
      <x:c r="G8" s="46" t="str">
        <x:v>多场景复用</x:v>
      </x:c>
      <x:c r="H8" s="46" t="str">
        <x:v>同一规则可通过绑定表服务多个用户模式或场景</x:v>
      </x:c>
    </x:row>
    <x:row r="9" ht="79.19999694824219" hidden="0" customHeight="1">
      <x:c r="A9" s="43" t="str">
        <x:v>原子规则总数</x:v>
      </x:c>
      <x:c r="B9" s="44" t="n">
        <x:f>COUNTA('原子规则'!$C$2:$C$300)</x:f>
        <x:v>82</x:v>
      </x:c>
      <x:c r="C9" s="36"/>
      <x:c r="D9" s="43" t="str">
        <x:v>待接外部数据</x:v>
      </x:c>
      <x:c r="E9" s="45" t="n">
        <x:f>COUNTIF('原子规则'!$L$2:$L$300,D9)</x:f>
        <x:v>24</x:v>
      </x:c>
      <x:c r="F9" s="36"/>
      <x:c r="G9" s="46" t="str">
        <x:v>能力分层</x:v>
      </x:c>
      <x:c r="H9" s="46" t="str">
        <x:v>M101、M102按智能服务管理，不与阈值规则混淆</x:v>
      </x:c>
    </x:row>
    <x:row r="10" ht="66" hidden="0" customHeight="1">
      <x:c r="A10" s="43" t="str">
        <x:v>模式规则绑定数</x:v>
      </x:c>
      <x:c r="B10" s="44" t="n">
        <x:f>COUNTA('模式规则绑定'!$B$2:$B$400)</x:f>
        <x:v>84</x:v>
      </x:c>
      <x:c r="C10" s="36"/>
      <x:c r="D10" s="43" t="str">
        <x:v>待建设</x:v>
      </x:c>
      <x:c r="E10" s="45" t="n">
        <x:f>COUNTIF('原子规则'!$L$2:$L$300,D10)</x:f>
        <x:v>36</x:v>
      </x:c>
      <x:c r="F10" s="36"/>
      <x:c r="G10" s="46" t="str">
        <x:v>入库原则</x:v>
      </x:c>
      <x:c r="H10" s="46" t="str">
        <x:v>审核确认后再生成SQL并写入线上MySQL</x:v>
      </x:c>
    </x:row>
    <x:row r="11" ht="15" hidden="0" customHeight="1">
      <x:c r="A11" s="36"/>
      <x:c r="B11" s="36"/>
      <x:c r="C11" s="36"/>
      <x:c r="D11" s="36"/>
      <x:c r="E11" s="36"/>
      <x:c r="F11" s="36"/>
      <x:c r="G11" s="36"/>
      <x:c r="H11" s="36"/>
    </x:row>
    <x:row r="12" ht="15" hidden="0" customHeight="1">
      <x:c r="A12" s="36"/>
      <x:c r="B12" s="36"/>
      <x:c r="C12" s="36"/>
      <x:c r="D12" s="36"/>
      <x:c r="E12" s="36"/>
      <x:c r="F12" s="36"/>
      <x:c r="G12" s="36"/>
      <x:c r="H12" s="36"/>
    </x:row>
    <x:row r="13" ht="15" hidden="0" customHeight="1">
      <x:c r="A13" s="37" t="str">
        <x:v>场景编号</x:v>
      </x:c>
      <x:c r="B13" s="47" t="str">
        <x:v>场景名称</x:v>
      </x:c>
      <x:c r="C13" s="47" t="str">
        <x:v>领域</x:v>
      </x:c>
      <x:c r="D13" s="47" t="str">
        <x:v>主要阶段</x:v>
      </x:c>
      <x:c r="E13" s="47" t="str">
        <x:v>模式数</x:v>
      </x:c>
      <x:c r="F13" s="47" t="str">
        <x:v>建设重点</x:v>
      </x:c>
      <x:c r="G13" s="47" t="str"/>
      <x:c r="H13" s="38" t="str"/>
    </x:row>
    <x:row r="14" ht="92.4000015258789" hidden="0" customHeight="1">
      <x:c r="A14" s="48" t="str">
        <x:v>SCENE-CG-001</x:v>
      </x:c>
      <x:c r="B14" s="48" t="str">
        <x:v>采购方式不合规</x:v>
      </x:c>
      <x:c r="C14" s="48" t="str">
        <x:v>采购</x:v>
      </x:c>
      <x:c r="D14" s="48" t="str">
        <x:v>事前</x:v>
      </x:c>
      <x:c r="E14" s="49" t="n">
        <x:v>2</x:v>
      </x:c>
      <x:c r="F14" s="48" t="str">
        <x:v>识别采购方式选择、审批、集采目录和拆分采购等合规风险。</x:v>
      </x:c>
      <x:c r="G14" s="48" t="str"/>
      <x:c r="H14" s="48" t="str"/>
    </x:row>
    <x:row r="15" ht="92.4000015258789" hidden="0" customHeight="1">
      <x:c r="A15" s="50" t="str">
        <x:v>SCENE-ZB-002</x:v>
      </x:c>
      <x:c r="B15" s="50" t="str">
        <x:v>虚假招标</x:v>
      </x:c>
      <x:c r="C15" s="50" t="str">
        <x:v>采购</x:v>
      </x:c>
      <x:c r="D15" s="50" t="str">
        <x:v>事前/事中</x:v>
      </x:c>
      <x:c r="E15" s="51" t="n">
        <x:v>1</x:v>
      </x:c>
      <x:c r="F15" s="50" t="str">
        <x:v>识别供应商提前介入、定向参数、投标材料同源及陪标行为。</x:v>
      </x:c>
      <x:c r="G15" s="50" t="str"/>
      <x:c r="H15" s="50" t="str"/>
    </x:row>
    <x:row r="16" ht="105.5999984741211" hidden="0" customHeight="1">
      <x:c r="A16" s="50" t="str">
        <x:v>SCENE-BID-003</x:v>
      </x:c>
      <x:c r="B16" s="50" t="str">
        <x:v>围标串标</x:v>
      </x:c>
      <x:c r="C16" s="50" t="str">
        <x:v>采购</x:v>
      </x:c>
      <x:c r="D16" s="50" t="str">
        <x:v>事中/事后</x:v>
      </x:c>
      <x:c r="E16" s="51" t="n">
        <x:v>6</x:v>
      </x:c>
      <x:c r="F16" s="50" t="str">
        <x:v>融合投标文件、工商关联、人员、联系方式和历史投标群组进行判定。</x:v>
      </x:c>
      <x:c r="G16" s="50" t="str"/>
      <x:c r="H16" s="50" t="str"/>
    </x:row>
    <x:row r="17" ht="105.5999984741211" hidden="0" customHeight="1">
      <x:c r="A17" s="50" t="str">
        <x:v>SCENE-LC-004</x:v>
      </x:c>
      <x:c r="B17" s="50" t="str">
        <x:v>采购流程不规范</x:v>
      </x:c>
      <x:c r="C17" s="50" t="str">
        <x:v>采购</x:v>
      </x:c>
      <x:c r="D17" s="50" t="str">
        <x:v>事前/事中</x:v>
      </x:c>
      <x:c r="E17" s="51" t="n">
        <x:v>2</x:v>
      </x:c>
      <x:c r="F17" s="50" t="str">
        <x:v>识别预算、公告、投标期、评审、签约等流程缺失、倒置或不合规。</x:v>
      </x:c>
      <x:c r="G17" s="50" t="str"/>
      <x:c r="H17" s="50" t="str"/>
    </x:row>
    <x:row r="18" ht="105.5999984741211" hidden="0" customHeight="1">
      <x:c r="A18" s="50" t="str">
        <x:v>SCENE-CP-005</x:v>
      </x:c>
      <x:c r="B18" s="50" t="str">
        <x:v>供应商及交易对手风险</x:v>
      </x:c>
      <x:c r="C18" s="50" t="str">
        <x:v>采购/供应链</x:v>
      </x:c>
      <x:c r="D18" s="50" t="str">
        <x:v>事前</x:v>
      </x:c>
      <x:c r="E18" s="51" t="n">
        <x:v>16</x:v>
      </x:c>
      <x:c r="F18" s="50" t="str">
        <x:v>识别甲乙方隐性关联、空壳、失信、涉诉、黑名单和历史履约风险。</x:v>
      </x:c>
      <x:c r="G18" s="50" t="str"/>
      <x:c r="H18" s="50" t="str"/>
    </x:row>
    <x:row r="19" ht="92.4000015258789" hidden="0" customHeight="1">
      <x:c r="A19" s="50" t="str">
        <x:v>SCENE-TRADE-006</x:v>
      </x:c>
      <x:c r="B19" s="50" t="str">
        <x:v>贸易背景及循环贸易</x:v>
      </x:c>
      <x:c r="C19" s="50" t="str">
        <x:v>供应链</x:v>
      </x:c>
      <x:c r="D19" s="50" t="str">
        <x:v>事中/事后</x:v>
      </x:c>
      <x:c r="E19" s="51" t="n">
        <x:v>11</x:v>
      </x:c>
      <x:c r="F19" s="50" t="str">
        <x:v>识别同标的双向交易、上下游关联、循环贸易和虚增贸易链路。</x:v>
      </x:c>
      <x:c r="G19" s="50" t="str"/>
      <x:c r="H19" s="50" t="str"/>
    </x:row>
    <x:row r="20" ht="92.4000015258789" hidden="0" customHeight="1">
      <x:c r="A20" s="50" t="str">
        <x:v>SCENE-ORDER-007</x:v>
      </x:c>
      <x:c r="B20" s="50" t="str">
        <x:v>合同订单及价格异常</x:v>
      </x:c>
      <x:c r="C20" s="50" t="str">
        <x:v>合同/供应链</x:v>
      </x:c>
      <x:c r="D20" s="50" t="str">
        <x:v>事前/事中</x:v>
      </x:c>
      <x:c r="E20" s="51" t="n">
        <x:v>6</x:v>
      </x:c>
      <x:c r="F20" s="50" t="str">
        <x:v>识别低毛利、微价差、融资性贸易以及历史和横向价格异常。</x:v>
      </x:c>
      <x:c r="G20" s="50" t="str"/>
      <x:c r="H20" s="50" t="str"/>
    </x:row>
    <x:row r="21" ht="92.4000015258789" hidden="0" customHeight="1">
      <x:c r="A21" s="50" t="str">
        <x:v>SCENE-SETTLE-008</x:v>
      </x:c>
      <x:c r="B21" s="50" t="str">
        <x:v>结算模式异常</x:v>
      </x:c>
      <x:c r="C21" s="50" t="str">
        <x:v>财务</x:v>
      </x:c>
      <x:c r="D21" s="50" t="str">
        <x:v>事中/事后</x:v>
      </x:c>
      <x:c r="E21" s="51" t="n">
        <x:v>3</x:v>
      </x:c>
      <x:c r="F21" s="50" t="str">
        <x:v>识别双向收付款、双向挂账及合同发票资金主体不一致。</x:v>
      </x:c>
      <x:c r="G21" s="50" t="str"/>
      <x:c r="H21" s="50" t="str"/>
    </x:row>
    <x:row r="22" ht="105.5999984741211" hidden="0" customHeight="1">
      <x:c r="A22" s="50" t="str">
        <x:v>SCENE-FUND-009</x:v>
      </x:c>
      <x:c r="B22" s="50" t="str">
        <x:v>资金流异常</x:v>
      </x:c>
      <x:c r="C22" s="50" t="str">
        <x:v>财务</x:v>
      </x:c>
      <x:c r="D22" s="50" t="str">
        <x:v>事中/事后</x:v>
      </x:c>
      <x:c r="E22" s="51" t="n">
        <x:v>9</x:v>
      </x:c>
      <x:c r="F22" s="50" t="str">
        <x:v>识别资金占用、异常预付、账户同源、资金回流和个人账户收款。</x:v>
      </x:c>
      <x:c r="G22" s="50" t="str"/>
      <x:c r="H22" s="50" t="str"/>
    </x:row>
    <x:row r="23" ht="92.4000015258789" hidden="0" customHeight="1">
      <x:c r="A23" s="50" t="str">
        <x:v>SCENE-DELIVERY-010</x:v>
      </x:c>
      <x:c r="B23" s="50" t="str">
        <x:v>货权及交付异常</x:v>
      </x:c>
      <x:c r="C23" s="50" t="str">
        <x:v>供应链</x:v>
      </x:c>
      <x:c r="D23" s="50" t="str">
        <x:v>事后</x:v>
      </x:c>
      <x:c r="E23" s="51" t="n">
        <x:v>3</x:v>
      </x:c>
      <x:c r="F23" s="50" t="str">
        <x:v>识别无交付凭证、数量不符、非标仓单及异常货物流转。</x:v>
      </x:c>
      <x:c r="G23" s="50" t="str"/>
      <x:c r="H23" s="50" t="str"/>
    </x:row>
    <x:row r="24" ht="92.4000015258789" hidden="0" customHeight="1">
      <x:c r="A24" s="50" t="str">
        <x:v>SCENE-CONTRACT-011</x:v>
      </x:c>
      <x:c r="B24" s="50" t="str">
        <x:v>合同履约与变更异常</x:v>
      </x:c>
      <x:c r="C24" s="50" t="str">
        <x:v>合同</x:v>
      </x:c>
      <x:c r="D24" s="50" t="str">
        <x:v>事中/事后</x:v>
      </x:c>
      <x:c r="E24" s="51" t="n">
        <x:v>2</x:v>
      </x:c>
      <x:c r="F24" s="50" t="str">
        <x:v>识别中标后重大变更、验收前高比例付款和合同履约异常。</x:v>
      </x:c>
      <x:c r="G24" s="50" t="str"/>
      <x:c r="H24" s="50" t="str"/>
    </x:row>
    <x:row r="25" ht="79.19999694824219" hidden="0" customHeight="1">
      <x:c r="A25" s="50" t="str">
        <x:v>SCENE-AI-012</x:v>
      </x:c>
      <x:c r="B25" s="50" t="str">
        <x:v>智能评标与合同审查</x:v>
      </x:c>
      <x:c r="C25" s="50" t="str">
        <x:v>采购/合同</x:v>
      </x:c>
      <x:c r="D25" s="50" t="str">
        <x:v>事前/事中</x:v>
      </x:c>
      <x:c r="E25" s="51" t="n">
        <x:v>2</x:v>
      </x:c>
      <x:c r="F25" s="50" t="str">
        <x:v>提供智能评标、合作建议和合同法律风险审查能力。</x:v>
      </x:c>
      <x:c r="G25" s="50" t="str"/>
      <x:c r="H25" s="50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30" hidden="0" customWidth="1"/>
    <x:col min="5" max="5" width="62" hidden="0" customWidth="1"/>
    <x:col min="6" max="6" width="14" hidden="0" customWidth="1"/>
    <x:col min="7" max="7" width="14" hidden="0" customWidth="1"/>
    <x:col min="8" max="8" width="20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15" hidden="0" customHeight="1">
      <x:c r="A1" s="13" t="str">
        <x:v>序号</x:v>
      </x:c>
      <x:c r="B1" s="29" t="str">
        <x:v>模式类目</x:v>
      </x:c>
      <x:c r="C1" s="29" t="str">
        <x:v>模式编号</x:v>
      </x:c>
      <x:c r="D1" s="29" t="str">
        <x:v>模式名称</x:v>
      </x:c>
      <x:c r="E1" s="29" t="str">
        <x:v>模式说明</x:v>
      </x:c>
      <x:c r="F1" s="29" t="str">
        <x:v>来源</x:v>
      </x:c>
      <x:c r="G1" s="29" t="str">
        <x:v>用户原编号</x:v>
      </x:c>
      <x:c r="H1" s="29" t="str">
        <x:v>主场景编号</x:v>
      </x:c>
      <x:c r="I1" s="29" t="str">
        <x:v>主场景名称</x:v>
      </x:c>
      <x:c r="J1" s="29" t="str">
        <x:v>建议阶段</x:v>
      </x:c>
      <x:c r="K1" s="29" t="str">
        <x:v>默认等级</x:v>
      </x:c>
      <x:c r="L1" s="14" t="str">
        <x:v>当前覆盖状态</x:v>
      </x:c>
    </x:row>
    <x:row r="2" ht="24" hidden="0" customHeight="1">
      <x:c r="A2" s="57" t="n">
        <x:v>1</x:v>
      </x:c>
      <x:c r="B2" s="57" t="str">
        <x:v>贸易背景异常识别</x:v>
      </x:c>
      <x:c r="C2" s="57" t="str">
        <x:v>101</x:v>
      </x:c>
      <x:c r="D2" s="57" t="str">
        <x:v>跨单位同标的收支合同检测</x:v>
      </x:c>
      <x:c r="E2" s="57" t="str">
        <x:v>不同交易主体的收支合同标的名称、规格高度雷同且交易方向相反。</x:v>
      </x:c>
      <x:c r="F2" s="57" t="str">
        <x:v>用户提出</x:v>
      </x:c>
      <x:c r="G2" s="57" t="str">
        <x:v>是</x:v>
      </x:c>
      <x:c r="H2" s="57" t="str">
        <x:v>SCENE-TRADE-006</x:v>
      </x:c>
      <x:c r="I2" s="57" t="str">
        <x:v>贸易背景及循环贸易</x:v>
      </x:c>
      <x:c r="J2" s="57" t="str">
        <x:v>事中/事后</x:v>
      </x:c>
      <x:c r="K2" s="57" t="str">
        <x:v>重大</x:v>
      </x:c>
      <x:c r="L2" s="57" t="str">
        <x:v>已有演示明细，待规则化</x:v>
      </x:c>
    </x:row>
    <x:row r="3" ht="15" hidden="0" customHeight="1">
      <x:c r="A3" s="58" t="n">
        <x:v>2</x:v>
      </x:c>
      <x:c r="B3" s="58" t="str">
        <x:v>贸易背景异常识别</x:v>
      </x:c>
      <x:c r="C3" s="58" t="str">
        <x:v>102</x:v>
      </x:c>
      <x:c r="D3" s="58" t="str">
        <x:v>投标比价单位交叉持股关联检测</x:v>
      </x:c>
      <x:c r="E3" s="58" t="str">
        <x:v>核查投标、比价或谈判单位之间的母子、投资及交叉持股关系。</x:v>
      </x:c>
      <x:c r="F3" s="58" t="str">
        <x:v>用户提出</x:v>
      </x:c>
      <x:c r="G3" s="58" t="str">
        <x:v>是</x:v>
      </x:c>
      <x:c r="H3" s="58" t="str">
        <x:v>SCENE-BID-003</x:v>
      </x:c>
      <x:c r="I3" s="58" t="str">
        <x:v>围标串标</x:v>
      </x:c>
      <x:c r="J3" s="58" t="str">
        <x:v>事前/事中</x:v>
      </x:c>
      <x:c r="K3" s="58" t="str">
        <x:v>重大</x:v>
      </x:c>
      <x:c r="L3" s="58" t="str">
        <x:v>部分实现</x:v>
      </x:c>
    </x:row>
    <x:row r="4" ht="24" hidden="0" customHeight="1">
      <x:c r="A4" s="58" t="n">
        <x:v>3</x:v>
      </x:c>
      <x:c r="B4" s="58" t="str">
        <x:v>贸易背景异常识别</x:v>
      </x:c>
      <x:c r="C4" s="58" t="str">
        <x:v>103</x:v>
      </x:c>
      <x:c r="D4" s="58" t="str">
        <x:v>同主体同标的收支合同检测</x:v>
      </x:c>
      <x:c r="E4" s="58" t="str">
        <x:v>同一经营主体存在同标的、同规格的双向购销合同。</x:v>
      </x:c>
      <x:c r="F4" s="58" t="str">
        <x:v>用户提出</x:v>
      </x:c>
      <x:c r="G4" s="58" t="str">
        <x:v>是</x:v>
      </x:c>
      <x:c r="H4" s="58" t="str">
        <x:v>SCENE-TRADE-006</x:v>
      </x:c>
      <x:c r="I4" s="58" t="str">
        <x:v>贸易背景及循环贸易</x:v>
      </x:c>
      <x:c r="J4" s="58" t="str">
        <x:v>事中/事后</x:v>
      </x:c>
      <x:c r="K4" s="58" t="str">
        <x:v>重大</x:v>
      </x:c>
      <x:c r="L4" s="58" t="str">
        <x:v>已有演示明细，待规则化</x:v>
      </x:c>
    </x:row>
    <x:row r="5" ht="15" hidden="0" customHeight="1">
      <x:c r="A5" s="58" t="n">
        <x:v>4</x:v>
      </x:c>
      <x:c r="B5" s="58" t="str">
        <x:v>贸易背景异常识别</x:v>
      </x:c>
      <x:c r="C5" s="58" t="str">
        <x:v>104</x:v>
      </x:c>
      <x:c r="D5" s="58" t="str">
        <x:v>供应商法定代表人关联检测</x:v>
      </x:c>
      <x:c r="E5" s="58" t="str">
        <x:v>供应商法定代表人与甲方采购、评审或管理人员存在关联。</x:v>
      </x:c>
      <x:c r="F5" s="58" t="str">
        <x:v>用户提出</x:v>
      </x:c>
      <x:c r="G5" s="58" t="str">
        <x:v>是</x:v>
      </x:c>
      <x:c r="H5" s="58" t="str">
        <x:v>SCENE-CP-005</x:v>
      </x:c>
      <x:c r="I5" s="58" t="str">
        <x:v>供应商及交易对手风险</x:v>
      </x:c>
      <x:c r="J5" s="58" t="str">
        <x:v>事前</x:v>
      </x:c>
      <x:c r="K5" s="58" t="str">
        <x:v>重大</x:v>
      </x:c>
      <x:c r="L5" s="58" t="str">
        <x:v>待接外部数据</x:v>
      </x:c>
    </x:row>
    <x:row r="6" ht="15" hidden="0" customHeight="1">
      <x:c r="A6" s="58" t="n">
        <x:v>5</x:v>
      </x:c>
      <x:c r="B6" s="58" t="str">
        <x:v>贸易背景异常识别</x:v>
      </x:c>
      <x:c r="C6" s="58" t="str">
        <x:v>105</x:v>
      </x:c>
      <x:c r="D6" s="58" t="str">
        <x:v>供应商自然人股东关联检测</x:v>
      </x:c>
      <x:c r="E6" s="58" t="str">
        <x:v>股权穿透后供应商自然人股东与甲方人员存在利益关联。</x:v>
      </x:c>
      <x:c r="F6" s="58" t="str">
        <x:v>用户提出</x:v>
      </x:c>
      <x:c r="G6" s="58" t="str">
        <x:v>是</x:v>
      </x:c>
      <x:c r="H6" s="58" t="str">
        <x:v>SCENE-CP-005</x:v>
      </x:c>
      <x:c r="I6" s="58" t="str">
        <x:v>供应商及交易对手风险</x:v>
      </x:c>
      <x:c r="J6" s="58" t="str">
        <x:v>事前</x:v>
      </x:c>
      <x:c r="K6" s="58" t="str">
        <x:v>重大</x:v>
      </x:c>
      <x:c r="L6" s="58" t="str">
        <x:v>待接外部数据</x:v>
      </x:c>
    </x:row>
    <x:row r="7" ht="15" hidden="0" customHeight="1">
      <x:c r="A7" s="58" t="n">
        <x:v>6</x:v>
      </x:c>
      <x:c r="B7" s="58" t="str">
        <x:v>贸易背景异常识别</x:v>
      </x:c>
      <x:c r="C7" s="58" t="str">
        <x:v>106</x:v>
      </x:c>
      <x:c r="D7" s="58" t="str">
        <x:v>供应商高管人员关联检测</x:v>
      </x:c>
      <x:c r="E7" s="58" t="str">
        <x:v>供应商董监高或经营层人员与甲方人员存在任职或利益关联。</x:v>
      </x:c>
      <x:c r="F7" s="58" t="str">
        <x:v>用户提出</x:v>
      </x:c>
      <x:c r="G7" s="58" t="str">
        <x:v>是</x:v>
      </x:c>
      <x:c r="H7" s="58" t="str">
        <x:v>SCENE-CP-005</x:v>
      </x:c>
      <x:c r="I7" s="58" t="str">
        <x:v>供应商及交易对手风险</x:v>
      </x:c>
      <x:c r="J7" s="58" t="str">
        <x:v>事前</x:v>
      </x:c>
      <x:c r="K7" s="58" t="str">
        <x:v>高</x:v>
      </x:c>
      <x:c r="L7" s="58" t="str">
        <x:v>待接外部数据</x:v>
      </x:c>
    </x:row>
    <x:row r="8" ht="15" hidden="0" customHeight="1">
      <x:c r="A8" s="58" t="n">
        <x:v>7</x:v>
      </x:c>
      <x:c r="B8" s="58" t="str">
        <x:v>贸易背景异常识别</x:v>
      </x:c>
      <x:c r="C8" s="58" t="str">
        <x:v>107</x:v>
      </x:c>
      <x:c r="D8" s="58" t="str">
        <x:v>非主业违规贸易检测</x:v>
      </x:c>
      <x:c r="E8" s="58" t="str">
        <x:v>贸易品类超出企业经营范围或偏离集团核准主业清单。</x:v>
      </x:c>
      <x:c r="F8" s="58" t="str">
        <x:v>用户提出</x:v>
      </x:c>
      <x:c r="G8" s="58" t="str">
        <x:v>是</x:v>
      </x:c>
      <x:c r="H8" s="58" t="str">
        <x:v>SCENE-CP-005</x:v>
      </x:c>
      <x:c r="I8" s="58" t="str">
        <x:v>供应商及交易对手风险</x:v>
      </x:c>
      <x:c r="J8" s="58" t="str">
        <x:v>事前/事中</x:v>
      </x:c>
      <x:c r="K8" s="58" t="str">
        <x:v>高</x:v>
      </x:c>
      <x:c r="L8" s="58" t="str">
        <x:v>待接外部数据</x:v>
      </x:c>
    </x:row>
    <x:row r="9" ht="15" hidden="0" customHeight="1">
      <x:c r="A9" s="58" t="n">
        <x:v>8</x:v>
      </x:c>
      <x:c r="B9" s="58" t="str">
        <x:v>合同订单异常识别</x:v>
      </x:c>
      <x:c r="C9" s="58" t="str">
        <x:v>201</x:v>
      </x:c>
      <x:c r="D9" s="58" t="str">
        <x:v>贸易超低毛利异常检测</x:v>
      </x:c>
      <x:c r="E9" s="58" t="str">
        <x:v>单笔贸易毛利率低于0.1%。</x:v>
      </x:c>
      <x:c r="F9" s="58" t="str">
        <x:v>用户提出</x:v>
      </x:c>
      <x:c r="G9" s="58" t="str">
        <x:v>是</x:v>
      </x:c>
      <x:c r="H9" s="58" t="str">
        <x:v>SCENE-ORDER-007</x:v>
      </x:c>
      <x:c r="I9" s="58" t="str">
        <x:v>合同订单及价格异常</x:v>
      </x:c>
      <x:c r="J9" s="58" t="str">
        <x:v>事中/事后</x:v>
      </x:c>
      <x:c r="K9" s="58" t="str">
        <x:v>高</x:v>
      </x:c>
      <x:c r="L9" s="58" t="str">
        <x:v>待建设</x:v>
      </x:c>
    </x:row>
    <x:row r="10" ht="24" hidden="0" customHeight="1">
      <x:c r="A10" s="58" t="n">
        <x:v>9</x:v>
      </x:c>
      <x:c r="B10" s="58" t="str">
        <x:v>合同订单异常识别</x:v>
      </x:c>
      <x:c r="C10" s="58" t="str">
        <x:v>202</x:v>
      </x:c>
      <x:c r="D10" s="58" t="str">
        <x:v>同货同量小额价差采销检测</x:v>
      </x:c>
      <x:c r="E10" s="58" t="str">
        <x:v>货物品类和数量一致，购销金额差值低于0.01%。</x:v>
      </x:c>
      <x:c r="F10" s="58" t="str">
        <x:v>用户提出</x:v>
      </x:c>
      <x:c r="G10" s="58" t="str">
        <x:v>是</x:v>
      </x:c>
      <x:c r="H10" s="58" t="str">
        <x:v>SCENE-ORDER-007</x:v>
      </x:c>
      <x:c r="I10" s="58" t="str">
        <x:v>合同订单及价格异常</x:v>
      </x:c>
      <x:c r="J10" s="58" t="str">
        <x:v>事中/事后</x:v>
      </x:c>
      <x:c r="K10" s="58" t="str">
        <x:v>重大</x:v>
      </x:c>
      <x:c r="L10" s="58" t="str">
        <x:v>已有演示明细，待规则化</x:v>
      </x:c>
    </x:row>
    <x:row r="11" ht="15" hidden="0" customHeight="1">
      <x:c r="A11" s="58" t="n">
        <x:v>10</x:v>
      </x:c>
      <x:c r="B11" s="58" t="str">
        <x:v>合同订单异常识别</x:v>
      </x:c>
      <x:c r="C11" s="58" t="str">
        <x:v>203</x:v>
      </x:c>
      <x:c r="D11" s="58" t="str">
        <x:v>低价差长账期融资贸易检测</x:v>
      </x:c>
      <x:c r="E11" s="58" t="str">
        <x:v>购销价差低于0.5%且账期超过90天。</x:v>
      </x:c>
      <x:c r="F11" s="58" t="str">
        <x:v>用户提出</x:v>
      </x:c>
      <x:c r="G11" s="58" t="str">
        <x:v>是</x:v>
      </x:c>
      <x:c r="H11" s="58" t="str">
        <x:v>SCENE-ORDER-007</x:v>
      </x:c>
      <x:c r="I11" s="58" t="str">
        <x:v>合同订单及价格异常</x:v>
      </x:c>
      <x:c r="J11" s="58" t="str">
        <x:v>事中/事后</x:v>
      </x:c>
      <x:c r="K11" s="58" t="str">
        <x:v>高</x:v>
      </x:c>
      <x:c r="L11" s="58" t="str">
        <x:v>待建设</x:v>
      </x:c>
    </x:row>
    <x:row r="12" ht="15" hidden="0" customHeight="1">
      <x:c r="A12" s="58" t="n">
        <x:v>11</x:v>
      </x:c>
      <x:c r="B12" s="58" t="str">
        <x:v>合同订单异常识别</x:v>
      </x:c>
      <x:c r="C12" s="58" t="str">
        <x:v>204</x:v>
      </x:c>
      <x:c r="D12" s="58" t="str">
        <x:v>短期商品价格突变异常检测</x:v>
      </x:c>
      <x:c r="E12" s="58" t="str">
        <x:v>24小时内同客户、同商品单价变化超过±8%。</x:v>
      </x:c>
      <x:c r="F12" s="58" t="str">
        <x:v>用户提出</x:v>
      </x:c>
      <x:c r="G12" s="58" t="str">
        <x:v>是</x:v>
      </x:c>
      <x:c r="H12" s="58" t="str">
        <x:v>SCENE-ORDER-007</x:v>
      </x:c>
      <x:c r="I12" s="58" t="str">
        <x:v>合同订单及价格异常</x:v>
      </x:c>
      <x:c r="J12" s="58" t="str">
        <x:v>事中</x:v>
      </x:c>
      <x:c r="K12" s="58" t="str">
        <x:v>高</x:v>
      </x:c>
      <x:c r="L12" s="58" t="str">
        <x:v>待建设</x:v>
      </x:c>
    </x:row>
    <x:row r="13" ht="15" hidden="0" customHeight="1">
      <x:c r="A13" s="58" t="n">
        <x:v>12</x:v>
      </x:c>
      <x:c r="B13" s="58" t="str">
        <x:v>交易对手异常识别</x:v>
      </x:c>
      <x:c r="C13" s="58" t="str">
        <x:v>301</x:v>
      </x:c>
      <x:c r="D13" s="58" t="str">
        <x:v>空壳资本企业风险检测</x:v>
      </x:c>
      <x:c r="E13" s="58" t="str">
        <x:v>实缴资本低于1000万元且注册地址为集中托管地址。</x:v>
      </x:c>
      <x:c r="F13" s="58" t="str">
        <x:v>用户提出</x:v>
      </x:c>
      <x:c r="G13" s="58" t="str">
        <x:v>是</x:v>
      </x:c>
      <x:c r="H13" s="58" t="str">
        <x:v>SCENE-CP-005</x:v>
      </x:c>
      <x:c r="I13" s="58" t="str">
        <x:v>供应商及交易对手风险</x:v>
      </x:c>
      <x:c r="J13" s="58" t="str">
        <x:v>事前</x:v>
      </x:c>
      <x:c r="K13" s="58" t="str">
        <x:v>高</x:v>
      </x:c>
      <x:c r="L13" s="58" t="str">
        <x:v>待接外部数据</x:v>
      </x:c>
    </x:row>
    <x:row r="14" ht="15" hidden="0" customHeight="1">
      <x:c r="A14" s="58" t="n">
        <x:v>13</x:v>
      </x:c>
      <x:c r="B14" s="58" t="str">
        <x:v>交易对手异常识别</x:v>
      </x:c>
      <x:c r="C14" s="58" t="str">
        <x:v>302</x:v>
      </x:c>
      <x:c r="D14" s="58" t="str">
        <x:v>企业社保空心化检测</x:v>
      </x:c>
      <x:c r="E14" s="58" t="str">
        <x:v>近12个月平均参保人数低于10人。</x:v>
      </x:c>
      <x:c r="F14" s="58" t="str">
        <x:v>用户提出</x:v>
      </x:c>
      <x:c r="G14" s="58" t="str">
        <x:v>是</x:v>
      </x:c>
      <x:c r="H14" s="58" t="str">
        <x:v>SCENE-CP-005</x:v>
      </x:c>
      <x:c r="I14" s="58" t="str">
        <x:v>供应商及交易对手风险</x:v>
      </x:c>
      <x:c r="J14" s="58" t="str">
        <x:v>事前</x:v>
      </x:c>
      <x:c r="K14" s="58" t="str">
        <x:v>高</x:v>
      </x:c>
      <x:c r="L14" s="58" t="str">
        <x:v>待接外部数据</x:v>
      </x:c>
    </x:row>
    <x:row r="15" ht="15" hidden="0" customHeight="1">
      <x:c r="A15" s="58" t="n">
        <x:v>14</x:v>
      </x:c>
      <x:c r="B15" s="58" t="str">
        <x:v>交易对手异常识别</x:v>
      </x:c>
      <x:c r="C15" s="58" t="str">
        <x:v>303</x:v>
      </x:c>
      <x:c r="D15" s="58" t="str">
        <x:v>新成立企业风控检测</x:v>
      </x:c>
      <x:c r="E15" s="58" t="str">
        <x:v>企业成立时间不足180天。</x:v>
      </x:c>
      <x:c r="F15" s="58" t="str">
        <x:v>用户提出</x:v>
      </x:c>
      <x:c r="G15" s="58" t="str">
        <x:v>是</x:v>
      </x:c>
      <x:c r="H15" s="58" t="str">
        <x:v>SCENE-CP-005</x:v>
      </x:c>
      <x:c r="I15" s="58" t="str">
        <x:v>供应商及交易对手风险</x:v>
      </x:c>
      <x:c r="J15" s="58" t="str">
        <x:v>事前</x:v>
      </x:c>
      <x:c r="K15" s="58" t="str">
        <x:v>中</x:v>
      </x:c>
      <x:c r="L15" s="58" t="str">
        <x:v>待接外部数据</x:v>
      </x:c>
    </x:row>
    <x:row r="16" ht="15" hidden="0" customHeight="1">
      <x:c r="A16" s="58" t="n">
        <x:v>15</x:v>
      </x:c>
      <x:c r="B16" s="58" t="str">
        <x:v>交易对手异常识别</x:v>
      </x:c>
      <x:c r="C16" s="58" t="str">
        <x:v>304</x:v>
      </x:c>
      <x:c r="D16" s="58" t="str">
        <x:v>企业经营异常名录检测</x:v>
      </x:c>
      <x:c r="E16" s="58" t="str">
        <x:v>企业被列入经营异常名录且尚未移出。</x:v>
      </x:c>
      <x:c r="F16" s="58" t="str">
        <x:v>用户提出</x:v>
      </x:c>
      <x:c r="G16" s="58" t="str">
        <x:v>是</x:v>
      </x:c>
      <x:c r="H16" s="58" t="str">
        <x:v>SCENE-CP-005</x:v>
      </x:c>
      <x:c r="I16" s="58" t="str">
        <x:v>供应商及交易对手风险</x:v>
      </x:c>
      <x:c r="J16" s="58" t="str">
        <x:v>事前</x:v>
      </x:c>
      <x:c r="K16" s="58" t="str">
        <x:v>高</x:v>
      </x:c>
      <x:c r="L16" s="58" t="str">
        <x:v>待接外部数据</x:v>
      </x:c>
    </x:row>
    <x:row r="17" ht="15" hidden="0" customHeight="1">
      <x:c r="A17" s="58" t="n">
        <x:v>16</x:v>
      </x:c>
      <x:c r="B17" s="58" t="str">
        <x:v>交易对手异常识别</x:v>
      </x:c>
      <x:c r="C17" s="58" t="str">
        <x:v>305</x:v>
      </x:c>
      <x:c r="D17" s="58" t="str">
        <x:v>严重违法失信企业检测</x:v>
      </x:c>
      <x:c r="E17" s="58" t="str">
        <x:v>企业命中严重违法失信名单。</x:v>
      </x:c>
      <x:c r="F17" s="58" t="str">
        <x:v>用户提出</x:v>
      </x:c>
      <x:c r="G17" s="58" t="str">
        <x:v>是</x:v>
      </x:c>
      <x:c r="H17" s="58" t="str">
        <x:v>SCENE-CP-005</x:v>
      </x:c>
      <x:c r="I17" s="58" t="str">
        <x:v>供应商及交易对手风险</x:v>
      </x:c>
      <x:c r="J17" s="58" t="str">
        <x:v>事前</x:v>
      </x:c>
      <x:c r="K17" s="58" t="str">
        <x:v>重大</x:v>
      </x:c>
      <x:c r="L17" s="58" t="str">
        <x:v>待接外部数据</x:v>
      </x:c>
    </x:row>
    <x:row r="18" ht="15" hidden="0" customHeight="1">
      <x:c r="A18" s="58" t="n">
        <x:v>17</x:v>
      </x:c>
      <x:c r="B18" s="58" t="str">
        <x:v>交易对手异常识别</x:v>
      </x:c>
      <x:c r="C18" s="58" t="str">
        <x:v>306</x:v>
      </x:c>
      <x:c r="D18" s="58" t="str">
        <x:v>法人失信被执行人检测</x:v>
      </x:c>
      <x:c r="E18" s="58" t="str">
        <x:v>企业法定代表人为失信被执行人。</x:v>
      </x:c>
      <x:c r="F18" s="58" t="str">
        <x:v>用户提出</x:v>
      </x:c>
      <x:c r="G18" s="58" t="str">
        <x:v>是</x:v>
      </x:c>
      <x:c r="H18" s="58" t="str">
        <x:v>SCENE-CP-005</x:v>
      </x:c>
      <x:c r="I18" s="58" t="str">
        <x:v>供应商及交易对手风险</x:v>
      </x:c>
      <x:c r="J18" s="58" t="str">
        <x:v>事前</x:v>
      </x:c>
      <x:c r="K18" s="58" t="str">
        <x:v>高</x:v>
      </x:c>
      <x:c r="L18" s="58" t="str">
        <x:v>待接外部数据</x:v>
      </x:c>
    </x:row>
    <x:row r="19" ht="15" hidden="0" customHeight="1">
      <x:c r="A19" s="58" t="n">
        <x:v>18</x:v>
      </x:c>
      <x:c r="B19" s="58" t="str">
        <x:v>交易对手异常识别</x:v>
      </x:c>
      <x:c r="C19" s="58" t="str">
        <x:v>307</x:v>
      </x:c>
      <x:c r="D19" s="58" t="str">
        <x:v>企业名称敏感特征检测</x:v>
      </x:c>
      <x:c r="E19" s="58" t="str">
        <x:v>企业名称命中融资、托盘、套利、大宗等敏感关键词。</x:v>
      </x:c>
      <x:c r="F19" s="58" t="str">
        <x:v>用户提出</x:v>
      </x:c>
      <x:c r="G19" s="58" t="str">
        <x:v>是</x:v>
      </x:c>
      <x:c r="H19" s="58" t="str">
        <x:v>SCENE-CP-005</x:v>
      </x:c>
      <x:c r="I19" s="58" t="str">
        <x:v>供应商及交易对手风险</x:v>
      </x:c>
      <x:c r="J19" s="58" t="str">
        <x:v>事前</x:v>
      </x:c>
      <x:c r="K19" s="58" t="str">
        <x:v>中</x:v>
      </x:c>
      <x:c r="L19" s="58" t="str">
        <x:v>待接外部数据</x:v>
      </x:c>
    </x:row>
    <x:row r="20" ht="15" hidden="0" customHeight="1">
      <x:c r="A20" s="58" t="n">
        <x:v>19</x:v>
      </x:c>
      <x:c r="B20" s="58" t="str">
        <x:v>交易对手异常识别</x:v>
      </x:c>
      <x:c r="C20" s="58" t="str">
        <x:v>308</x:v>
      </x:c>
      <x:c r="D20" s="58" t="str">
        <x:v>高比例股权质押风险检测</x:v>
      </x:c>
      <x:c r="E20" s="58" t="str">
        <x:v>企业股权质押比例达到或超过80%。</x:v>
      </x:c>
      <x:c r="F20" s="58" t="str">
        <x:v>用户提出</x:v>
      </x:c>
      <x:c r="G20" s="58" t="str">
        <x:v>是</x:v>
      </x:c>
      <x:c r="H20" s="58" t="str">
        <x:v>SCENE-CP-005</x:v>
      </x:c>
      <x:c r="I20" s="58" t="str">
        <x:v>供应商及交易对手风险</x:v>
      </x:c>
      <x:c r="J20" s="58" t="str">
        <x:v>事前</x:v>
      </x:c>
      <x:c r="K20" s="58" t="str">
        <x:v>高</x:v>
      </x:c>
      <x:c r="L20" s="58" t="str">
        <x:v>待接外部数据</x:v>
      </x:c>
    </x:row>
    <x:row r="21" ht="15" hidden="0" customHeight="1">
      <x:c r="A21" s="58" t="n">
        <x:v>20</x:v>
      </x:c>
      <x:c r="B21" s="58" t="str">
        <x:v>交易对手异常识别</x:v>
      </x:c>
      <x:c r="C21" s="58" t="str">
        <x:v>309</x:v>
      </x:c>
      <x:c r="D21" s="58" t="str">
        <x:v>密集司法纠纷风险检测</x:v>
      </x:c>
      <x:c r="E21" s="58" t="str">
        <x:v>近12个月作为被告的买卖合同纠纷达到5起。</x:v>
      </x:c>
      <x:c r="F21" s="58" t="str">
        <x:v>用户提出</x:v>
      </x:c>
      <x:c r="G21" s="58" t="str">
        <x:v>是</x:v>
      </x:c>
      <x:c r="H21" s="58" t="str">
        <x:v>SCENE-CP-005</x:v>
      </x:c>
      <x:c r="I21" s="58" t="str">
        <x:v>供应商及交易对手风险</x:v>
      </x:c>
      <x:c r="J21" s="58" t="str">
        <x:v>事前</x:v>
      </x:c>
      <x:c r="K21" s="58" t="str">
        <x:v>高</x:v>
      </x:c>
      <x:c r="L21" s="58" t="str">
        <x:v>待接外部数据</x:v>
      </x:c>
    </x:row>
    <x:row r="22" ht="15" hidden="0" customHeight="1">
      <x:c r="A22" s="58" t="n">
        <x:v>21</x:v>
      </x:c>
      <x:c r="B22" s="58" t="str">
        <x:v>交易对手异常识别</x:v>
      </x:c>
      <x:c r="C22" s="58" t="str">
        <x:v>310</x:v>
      </x:c>
      <x:c r="D22" s="58" t="str">
        <x:v>集团内部黑名单匹配检测</x:v>
      </x:c>
      <x:c r="E22" s="58" t="str">
        <x:v>交易对手命中集团内部黑名单。</x:v>
      </x:c>
      <x:c r="F22" s="58" t="str">
        <x:v>用户提出</x:v>
      </x:c>
      <x:c r="G22" s="58" t="str">
        <x:v>是</x:v>
      </x:c>
      <x:c r="H22" s="58" t="str">
        <x:v>SCENE-CP-005</x:v>
      </x:c>
      <x:c r="I22" s="58" t="str">
        <x:v>供应商及交易对手风险</x:v>
      </x:c>
      <x:c r="J22" s="58" t="str">
        <x:v>事前</x:v>
      </x:c>
      <x:c r="K22" s="58" t="str">
        <x:v>重大</x:v>
      </x:c>
      <x:c r="L22" s="58" t="str">
        <x:v>待接外部数据</x:v>
      </x:c>
    </x:row>
    <x:row r="23" ht="15" hidden="0" customHeight="1">
      <x:c r="A23" s="58" t="n">
        <x:v>22</x:v>
      </x:c>
      <x:c r="B23" s="58" t="str">
        <x:v>交易对手异常识别</x:v>
      </x:c>
      <x:c r="C23" s="58" t="str">
        <x:v>311</x:v>
      </x:c>
      <x:c r="D23" s="58" t="str">
        <x:v>外部企业负面舆情</x:v>
      </x:c>
      <x:c r="E23" s="58" t="str">
        <x:v>企业存在经核实的重大负面舆情。</x:v>
      </x:c>
      <x:c r="F23" s="58" t="str">
        <x:v>用户提出</x:v>
      </x:c>
      <x:c r="G23" s="58" t="str">
        <x:v>是</x:v>
      </x:c>
      <x:c r="H23" s="58" t="str">
        <x:v>SCENE-CP-005</x:v>
      </x:c>
      <x:c r="I23" s="58" t="str">
        <x:v>供应商及交易对手风险</x:v>
      </x:c>
      <x:c r="J23" s="58" t="str">
        <x:v>事前/事中</x:v>
      </x:c>
      <x:c r="K23" s="58" t="str">
        <x:v>高</x:v>
      </x:c>
      <x:c r="L23" s="58" t="str">
        <x:v>待接外部数据</x:v>
      </x:c>
    </x:row>
    <x:row r="24" ht="15" hidden="0" customHeight="1">
      <x:c r="A24" s="58" t="n">
        <x:v>23</x:v>
      </x:c>
      <x:c r="B24" s="58" t="str">
        <x:v>交易对手异常识别</x:v>
      </x:c>
      <x:c r="C24" s="58" t="str">
        <x:v>312</x:v>
      </x:c>
      <x:c r="D24" s="58" t="str">
        <x:v>历史长期逾期交易检测</x:v>
      </x:c>
      <x:c r="E24" s="58" t="str">
        <x:v>交易对手存在超过30天的历史逾期履约记录。</x:v>
      </x:c>
      <x:c r="F24" s="58" t="str">
        <x:v>用户提出</x:v>
      </x:c>
      <x:c r="G24" s="58" t="str">
        <x:v>是</x:v>
      </x:c>
      <x:c r="H24" s="58" t="str">
        <x:v>SCENE-CP-005</x:v>
      </x:c>
      <x:c r="I24" s="58" t="str">
        <x:v>供应商及交易对手风险</x:v>
      </x:c>
      <x:c r="J24" s="58" t="str">
        <x:v>事前</x:v>
      </x:c>
      <x:c r="K24" s="58" t="str">
        <x:v>高</x:v>
      </x:c>
      <x:c r="L24" s="58" t="str">
        <x:v>待建设</x:v>
      </x:c>
    </x:row>
    <x:row r="25" ht="24" hidden="0" customHeight="1">
      <x:c r="A25" s="58" t="n">
        <x:v>24</x:v>
      </x:c>
      <x:c r="B25" s="58" t="str">
        <x:v>上下游交易对手关联关系异常识别</x:v>
      </x:c>
      <x:c r="C25" s="58" t="str">
        <x:v>401</x:v>
      </x:c>
      <x:c r="D25" s="58" t="str">
        <x:v>上下游签约主体同源检测</x:v>
      </x:c>
      <x:c r="E25" s="58" t="str">
        <x:v>同一经营主体同时作为本次贸易的上游和下游签约方。</x:v>
      </x:c>
      <x:c r="F25" s="58" t="str">
        <x:v>用户提出</x:v>
      </x:c>
      <x:c r="G25" s="58" t="str">
        <x:v>是</x:v>
      </x:c>
      <x:c r="H25" s="58" t="str">
        <x:v>SCENE-TRADE-006</x:v>
      </x:c>
      <x:c r="I25" s="58" t="str">
        <x:v>贸易背景及循环贸易</x:v>
      </x:c>
      <x:c r="J25" s="58" t="str">
        <x:v>事中/事后</x:v>
      </x:c>
      <x:c r="K25" s="58" t="str">
        <x:v>重大</x:v>
      </x:c>
      <x:c r="L25" s="58" t="str">
        <x:v>待建设</x:v>
      </x:c>
    </x:row>
    <x:row r="26" ht="24" hidden="0" customHeight="1">
      <x:c r="A26" s="58" t="n">
        <x:v>25</x:v>
      </x:c>
      <x:c r="B26" s="58" t="str">
        <x:v>上下游交易对手关联关系异常识别</x:v>
      </x:c>
      <x:c r="C26" s="58" t="str">
        <x:v>402</x:v>
      </x:c>
      <x:c r="D26" s="58" t="str">
        <x:v>关联主体循环贸易检测</x:v>
      </x:c>
      <x:c r="E26" s="58" t="str">
        <x:v>相同主体或关联主体反复签订同质化购销合同。</x:v>
      </x:c>
      <x:c r="F26" s="58" t="str">
        <x:v>用户提出</x:v>
      </x:c>
      <x:c r="G26" s="58" t="str">
        <x:v>是</x:v>
      </x:c>
      <x:c r="H26" s="58" t="str">
        <x:v>SCENE-TRADE-006</x:v>
      </x:c>
      <x:c r="I26" s="58" t="str">
        <x:v>贸易背景及循环贸易</x:v>
      </x:c>
      <x:c r="J26" s="58" t="str">
        <x:v>事中/事后</x:v>
      </x:c>
      <x:c r="K26" s="58" t="str">
        <x:v>重大</x:v>
      </x:c>
      <x:c r="L26" s="58" t="str">
        <x:v>待建设</x:v>
      </x:c>
    </x:row>
    <x:row r="27" ht="24" hidden="0" customHeight="1">
      <x:c r="A27" s="58" t="n">
        <x:v>26</x:v>
      </x:c>
      <x:c r="B27" s="58" t="str">
        <x:v>上下游交易对手关联关系异常识别</x:v>
      </x:c>
      <x:c r="C27" s="58" t="str">
        <x:v>403</x:v>
      </x:c>
      <x:c r="D27" s="58" t="str">
        <x:v>上下游投资关联关系检测</x:v>
      </x:c>
      <x:c r="E27" s="58" t="str">
        <x:v>上下游企业存在投资、控股或交叉持股关系。</x:v>
      </x:c>
      <x:c r="F27" s="58" t="str">
        <x:v>用户提出</x:v>
      </x:c>
      <x:c r="G27" s="58" t="str">
        <x:v>是</x:v>
      </x:c>
      <x:c r="H27" s="58" t="str">
        <x:v>SCENE-TRADE-006</x:v>
      </x:c>
      <x:c r="I27" s="58" t="str">
        <x:v>贸易背景及循环贸易</x:v>
      </x:c>
      <x:c r="J27" s="58" t="str">
        <x:v>事前/事中</x:v>
      </x:c>
      <x:c r="K27" s="58" t="str">
        <x:v>高</x:v>
      </x:c>
      <x:c r="L27" s="58" t="str">
        <x:v>待接外部数据</x:v>
      </x:c>
    </x:row>
    <x:row r="28" ht="24" hidden="0" customHeight="1">
      <x:c r="A28" s="58" t="n">
        <x:v>27</x:v>
      </x:c>
      <x:c r="B28" s="58" t="str">
        <x:v>上下游交易对手关联关系异常识别</x:v>
      </x:c>
      <x:c r="C28" s="58" t="str">
        <x:v>404</x:v>
      </x:c>
      <x:c r="D28" s="58" t="str">
        <x:v>上下游高管人员重合检测</x:v>
      </x:c>
      <x:c r="E28" s="58" t="str">
        <x:v>上下游企业董监高或经营层人员存在重合。</x:v>
      </x:c>
      <x:c r="F28" s="58" t="str">
        <x:v>用户提出</x:v>
      </x:c>
      <x:c r="G28" s="58" t="str">
        <x:v>是</x:v>
      </x:c>
      <x:c r="H28" s="58" t="str">
        <x:v>SCENE-TRADE-006</x:v>
      </x:c>
      <x:c r="I28" s="58" t="str">
        <x:v>贸易背景及循环贸易</x:v>
      </x:c>
      <x:c r="J28" s="58" t="str">
        <x:v>事前/事中</x:v>
      </x:c>
      <x:c r="K28" s="58" t="str">
        <x:v>高</x:v>
      </x:c>
      <x:c r="L28" s="58" t="str">
        <x:v>待接外部数据</x:v>
      </x:c>
    </x:row>
    <x:row r="29" ht="24" hidden="0" customHeight="1">
      <x:c r="A29" s="58" t="n">
        <x:v>28</x:v>
      </x:c>
      <x:c r="B29" s="58" t="str">
        <x:v>上下游交易对手关联关系异常识别</x:v>
      </x:c>
      <x:c r="C29" s="58" t="str">
        <x:v>405</x:v>
      </x:c>
      <x:c r="D29" s="58" t="str">
        <x:v>上下游地址联系方式重合检测</x:v>
      </x:c>
      <x:c r="E29" s="58" t="str">
        <x:v>上下游企业注册地址、联系电话或联系人信息重合。</x:v>
      </x:c>
      <x:c r="F29" s="58" t="str">
        <x:v>用户提出</x:v>
      </x:c>
      <x:c r="G29" s="58" t="str">
        <x:v>是</x:v>
      </x:c>
      <x:c r="H29" s="58" t="str">
        <x:v>SCENE-TRADE-006</x:v>
      </x:c>
      <x:c r="I29" s="58" t="str">
        <x:v>贸易背景及循环贸易</x:v>
      </x:c>
      <x:c r="J29" s="58" t="str">
        <x:v>事前/事中</x:v>
      </x:c>
      <x:c r="K29" s="58" t="str">
        <x:v>高</x:v>
      </x:c>
      <x:c r="L29" s="58" t="str">
        <x:v>待接外部数据</x:v>
      </x:c>
    </x:row>
    <x:row r="30" ht="24" hidden="0" customHeight="1">
      <x:c r="A30" s="58" t="n">
        <x:v>29</x:v>
      </x:c>
      <x:c r="B30" s="58" t="str">
        <x:v>结算模式异常识别</x:v>
      </x:c>
      <x:c r="C30" s="58" t="str">
        <x:v>501</x:v>
      </x:c>
      <x:c r="D30" s="58" t="str">
        <x:v>短期客商双向收付款异常检测</x:v>
      </x:c>
      <x:c r="E30" s="58" t="str">
        <x:v>15天内与同一客商或关联主体同时发生收款和付款。</x:v>
      </x:c>
      <x:c r="F30" s="58" t="str">
        <x:v>用户提出</x:v>
      </x:c>
      <x:c r="G30" s="58" t="str">
        <x:v>是</x:v>
      </x:c>
      <x:c r="H30" s="58" t="str">
        <x:v>SCENE-SETTLE-008</x:v>
      </x:c>
      <x:c r="I30" s="58" t="str">
        <x:v>结算模式异常</x:v>
      </x:c>
      <x:c r="J30" s="58" t="str">
        <x:v>事中/事后</x:v>
      </x:c>
      <x:c r="K30" s="58" t="str">
        <x:v>高</x:v>
      </x:c>
      <x:c r="L30" s="58" t="str">
        <x:v>已有演示明细，待规则化</x:v>
      </x:c>
    </x:row>
    <x:row r="31" ht="15" hidden="0" customHeight="1">
      <x:c r="A31" s="58" t="n">
        <x:v>30</x:v>
      </x:c>
      <x:c r="B31" s="58" t="str">
        <x:v>结算模式异常识别</x:v>
      </x:c>
      <x:c r="C31" s="58" t="str">
        <x:v>502</x:v>
      </x:c>
      <x:c r="D31" s="58" t="str">
        <x:v>客商应收预付双向挂账检测</x:v>
      </x:c>
      <x:c r="E31" s="58" t="str">
        <x:v>同一客商及关联主体同时存在应收和预付余额。</x:v>
      </x:c>
      <x:c r="F31" s="58" t="str">
        <x:v>用户提出</x:v>
      </x:c>
      <x:c r="G31" s="58" t="str">
        <x:v>是</x:v>
      </x:c>
      <x:c r="H31" s="58" t="str">
        <x:v>SCENE-SETTLE-008</x:v>
      </x:c>
      <x:c r="I31" s="58" t="str">
        <x:v>结算模式异常</x:v>
      </x:c>
      <x:c r="J31" s="58" t="str">
        <x:v>事中/事后</x:v>
      </x:c>
      <x:c r="K31" s="58" t="str">
        <x:v>高</x:v>
      </x:c>
      <x:c r="L31" s="58" t="str">
        <x:v>待建设</x:v>
      </x:c>
    </x:row>
    <x:row r="32" ht="24" hidden="0" customHeight="1">
      <x:c r="A32" s="58" t="n">
        <x:v>31</x:v>
      </x:c>
      <x:c r="B32" s="58" t="str">
        <x:v>结算模式异常识别</x:v>
      </x:c>
      <x:c r="C32" s="58" t="str">
        <x:v>503</x:v>
      </x:c>
      <x:c r="D32" s="58" t="str">
        <x:v>三流主体信息不一致检测</x:v>
      </x:c>
      <x:c r="E32" s="58" t="str">
        <x:v>合同、发票、收付款主体信息不一致且无有效授权。</x:v>
      </x:c>
      <x:c r="F32" s="58" t="str">
        <x:v>用户提出</x:v>
      </x:c>
      <x:c r="G32" s="58" t="str">
        <x:v>是</x:v>
      </x:c>
      <x:c r="H32" s="58" t="str">
        <x:v>SCENE-SETTLE-008</x:v>
      </x:c>
      <x:c r="I32" s="58" t="str">
        <x:v>结算模式异常</x:v>
      </x:c>
      <x:c r="J32" s="58" t="str">
        <x:v>事中/事后</x:v>
      </x:c>
      <x:c r="K32" s="58" t="str">
        <x:v>重大</x:v>
      </x:c>
      <x:c r="L32" s="58" t="str">
        <x:v>已有演示明细，待规则化</x:v>
      </x:c>
    </x:row>
    <x:row r="33" ht="15" hidden="0" customHeight="1">
      <x:c r="A33" s="58" t="n">
        <x:v>32</x:v>
      </x:c>
      <x:c r="B33" s="58" t="str">
        <x:v>资金流异常识别</x:v>
      </x:c>
      <x:c r="C33" s="58" t="str">
        <x:v>601</x:v>
      </x:c>
      <x:c r="D33" s="58" t="str">
        <x:v>累计资金占用异常检测</x:v>
      </x:c>
      <x:c r="E33" s="58" t="str">
        <x:v>累计占用超过配置天数且日均占用超过配置金额。</x:v>
      </x:c>
      <x:c r="F33" s="58" t="str">
        <x:v>用户提出</x:v>
      </x:c>
      <x:c r="G33" s="58" t="str">
        <x:v>是</x:v>
      </x:c>
      <x:c r="H33" s="58" t="str">
        <x:v>SCENE-FUND-009</x:v>
      </x:c>
      <x:c r="I33" s="58" t="str">
        <x:v>资金流异常</x:v>
      </x:c>
      <x:c r="J33" s="58" t="str">
        <x:v>事中/事后</x:v>
      </x:c>
      <x:c r="K33" s="58" t="str">
        <x:v>高</x:v>
      </x:c>
      <x:c r="L33" s="58" t="str">
        <x:v>待建设</x:v>
      </x:c>
    </x:row>
    <x:row r="34" ht="15" hidden="0" customHeight="1">
      <x:c r="A34" s="58" t="n">
        <x:v>33</x:v>
      </x:c>
      <x:c r="B34" s="58" t="str">
        <x:v>资金流异常识别</x:v>
      </x:c>
      <x:c r="C34" s="58" t="str">
        <x:v>602</x:v>
      </x:c>
      <x:c r="D34" s="58" t="str">
        <x:v>大额应收预付逾期检测</x:v>
      </x:c>
      <x:c r="E34" s="58" t="str">
        <x:v>应收或预付发生逾期且逾期金额超过配置阈值。</x:v>
      </x:c>
      <x:c r="F34" s="58" t="str">
        <x:v>用户提出</x:v>
      </x:c>
      <x:c r="G34" s="58" t="str">
        <x:v>是</x:v>
      </x:c>
      <x:c r="H34" s="58" t="str">
        <x:v>SCENE-FUND-009</x:v>
      </x:c>
      <x:c r="I34" s="58" t="str">
        <x:v>资金流异常</x:v>
      </x:c>
      <x:c r="J34" s="58" t="str">
        <x:v>事后</x:v>
      </x:c>
      <x:c r="K34" s="58" t="str">
        <x:v>高</x:v>
      </x:c>
      <x:c r="L34" s="58" t="str">
        <x:v>待建设</x:v>
      </x:c>
    </x:row>
    <x:row r="35" ht="15" hidden="0" customHeight="1">
      <x:c r="A35" s="58" t="n">
        <x:v>34</x:v>
      </x:c>
      <x:c r="B35" s="58" t="str">
        <x:v>资金流异常识别</x:v>
      </x:c>
      <x:c r="C35" s="58" t="str">
        <x:v>603</x:v>
      </x:c>
      <x:c r="D35" s="58" t="str">
        <x:v>收付款节点大幅前置异常检测</x:v>
      </x:c>
      <x:c r="E35" s="58" t="str">
        <x:v>实际收付款时间较合同约定提前90天以上。</x:v>
      </x:c>
      <x:c r="F35" s="58" t="str">
        <x:v>用户提出</x:v>
      </x:c>
      <x:c r="G35" s="58" t="str">
        <x:v>是</x:v>
      </x:c>
      <x:c r="H35" s="58" t="str">
        <x:v>SCENE-FUND-009</x:v>
      </x:c>
      <x:c r="I35" s="58" t="str">
        <x:v>资金流异常</x:v>
      </x:c>
      <x:c r="J35" s="58" t="str">
        <x:v>事中/事后</x:v>
      </x:c>
      <x:c r="K35" s="58" t="str">
        <x:v>高</x:v>
      </x:c>
      <x:c r="L35" s="58" t="str">
        <x:v>待建设</x:v>
      </x:c>
    </x:row>
    <x:row r="36" ht="15" hidden="0" customHeight="1">
      <x:c r="A36" s="58" t="n">
        <x:v>35</x:v>
      </x:c>
      <x:c r="B36" s="58" t="str">
        <x:v>资金流异常识别</x:v>
      </x:c>
      <x:c r="C36" s="58" t="str">
        <x:v>604</x:v>
      </x:c>
      <x:c r="D36" s="58" t="str">
        <x:v>高预付高负债风险检测</x:v>
      </x:c>
      <x:c r="E36" s="58" t="str">
        <x:v>预付款比例超过80%且对方资产负债率超过85%。</x:v>
      </x:c>
      <x:c r="F36" s="58" t="str">
        <x:v>用户提出</x:v>
      </x:c>
      <x:c r="G36" s="58" t="str">
        <x:v>是</x:v>
      </x:c>
      <x:c r="H36" s="58" t="str">
        <x:v>SCENE-FUND-009</x:v>
      </x:c>
      <x:c r="I36" s="58" t="str">
        <x:v>资金流异常</x:v>
      </x:c>
      <x:c r="J36" s="58" t="str">
        <x:v>事前/事中</x:v>
      </x:c>
      <x:c r="K36" s="58" t="str">
        <x:v>重大</x:v>
      </x:c>
      <x:c r="L36" s="58" t="str">
        <x:v>待建设</x:v>
      </x:c>
    </x:row>
    <x:row r="37" ht="24" hidden="0" customHeight="1">
      <x:c r="A37" s="58" t="n">
        <x:v>36</x:v>
      </x:c>
      <x:c r="B37" s="58" t="str">
        <x:v>资金流异常识别</x:v>
      </x:c>
      <x:c r="C37" s="58" t="str">
        <x:v>605</x:v>
      </x:c>
      <x:c r="D37" s="58" t="str">
        <x:v>上下游回款账户同源检测</x:v>
      </x:c>
      <x:c r="E37" s="58" t="str">
        <x:v>上游收款账户与下游回款账户为同一账户。</x:v>
      </x:c>
      <x:c r="F37" s="58" t="str">
        <x:v>用户提出</x:v>
      </x:c>
      <x:c r="G37" s="58" t="str">
        <x:v>是</x:v>
      </x:c>
      <x:c r="H37" s="58" t="str">
        <x:v>SCENE-FUND-009</x:v>
      </x:c>
      <x:c r="I37" s="58" t="str">
        <x:v>资金流异常</x:v>
      </x:c>
      <x:c r="J37" s="58" t="str">
        <x:v>事后</x:v>
      </x:c>
      <x:c r="K37" s="58" t="str">
        <x:v>重大</x:v>
      </x:c>
      <x:c r="L37" s="58" t="str">
        <x:v>已有演示明细，待规则化</x:v>
      </x:c>
    </x:row>
    <x:row r="38" ht="24" hidden="0" customHeight="1">
      <x:c r="A38" s="58" t="n">
        <x:v>37</x:v>
      </x:c>
      <x:c r="B38" s="58" t="str">
        <x:v>资金流异常识别</x:v>
      </x:c>
      <x:c r="C38" s="58" t="str">
        <x:v>606</x:v>
      </x:c>
      <x:c r="D38" s="58" t="str">
        <x:v>当日小额差额资金回流检测</x:v>
      </x:c>
      <x:c r="E38" s="58" t="str">
        <x:v>付款和回款发生在同一天且金额差异低于5%。</x:v>
      </x:c>
      <x:c r="F38" s="58" t="str">
        <x:v>用户提出</x:v>
      </x:c>
      <x:c r="G38" s="58" t="str">
        <x:v>是</x:v>
      </x:c>
      <x:c r="H38" s="58" t="str">
        <x:v>SCENE-FUND-009</x:v>
      </x:c>
      <x:c r="I38" s="58" t="str">
        <x:v>资金流异常</x:v>
      </x:c>
      <x:c r="J38" s="58" t="str">
        <x:v>事后</x:v>
      </x:c>
      <x:c r="K38" s="58" t="str">
        <x:v>重大</x:v>
      </x:c>
      <x:c r="L38" s="58" t="str">
        <x:v>已有演示明细，待规则化</x:v>
      </x:c>
    </x:row>
    <x:row r="39" ht="15" hidden="0" customHeight="1">
      <x:c r="A39" s="58" t="n">
        <x:v>38</x:v>
      </x:c>
      <x:c r="B39" s="58" t="str">
        <x:v>资金流异常识别</x:v>
      </x:c>
      <x:c r="C39" s="58" t="str">
        <x:v>607</x:v>
      </x:c>
      <x:c r="D39" s="58" t="str">
        <x:v>个人账户收款异常</x:v>
      </x:c>
      <x:c r="E39" s="58" t="str">
        <x:v>贸易回款进入法人、股东、员工或其他个人账户。</x:v>
      </x:c>
      <x:c r="F39" s="58" t="str">
        <x:v>用户提出</x:v>
      </x:c>
      <x:c r="G39" s="58" t="str">
        <x:v>是</x:v>
      </x:c>
      <x:c r="H39" s="58" t="str">
        <x:v>SCENE-FUND-009</x:v>
      </x:c>
      <x:c r="I39" s="58" t="str">
        <x:v>资金流异常</x:v>
      </x:c>
      <x:c r="J39" s="58" t="str">
        <x:v>事后</x:v>
      </x:c>
      <x:c r="K39" s="58" t="str">
        <x:v>重大</x:v>
      </x:c>
      <x:c r="L39" s="58" t="str">
        <x:v>待建设</x:v>
      </x:c>
    </x:row>
    <x:row r="40" ht="15" hidden="0" customHeight="1">
      <x:c r="A40" s="58" t="n">
        <x:v>39</x:v>
      </x:c>
      <x:c r="B40" s="58" t="str">
        <x:v>货权转移异常识别</x:v>
      </x:c>
      <x:c r="C40" s="58" t="str">
        <x:v>701</x:v>
      </x:c>
      <x:c r="D40" s="58" t="str">
        <x:v>收付款无完整交付信息检测</x:v>
      </x:c>
      <x:c r="E40" s="58" t="str">
        <x:v>收付款完整但缺失交付单据、物流、签收、入库或验收信息。</x:v>
      </x:c>
      <x:c r="F40" s="58" t="str">
        <x:v>用户提出</x:v>
      </x:c>
      <x:c r="G40" s="58" t="str">
        <x:v>是</x:v>
      </x:c>
      <x:c r="H40" s="58" t="str">
        <x:v>SCENE-DELIVERY-010</x:v>
      </x:c>
      <x:c r="I40" s="58" t="str">
        <x:v>货权及交付异常</x:v>
      </x:c>
      <x:c r="J40" s="58" t="str">
        <x:v>事后</x:v>
      </x:c>
      <x:c r="K40" s="58" t="str">
        <x:v>重大</x:v>
      </x:c>
      <x:c r="L40" s="58" t="str">
        <x:v>已实现</x:v>
      </x:c>
    </x:row>
    <x:row r="41" ht="15" hidden="0" customHeight="1">
      <x:c r="A41" s="58" t="n">
        <x:v>40</x:v>
      </x:c>
      <x:c r="B41" s="58" t="str">
        <x:v>货权转移异常识别</x:v>
      </x:c>
      <x:c r="C41" s="58" t="str">
        <x:v>702</x:v>
      </x:c>
      <x:c r="D41" s="58" t="str">
        <x:v>采购交付数量不符检测</x:v>
      </x:c>
      <x:c r="E41" s="58" t="str">
        <x:v>实际交付或入库数量与采购合同约定数量不一致。</x:v>
      </x:c>
      <x:c r="F41" s="58" t="str">
        <x:v>用户提出</x:v>
      </x:c>
      <x:c r="G41" s="58" t="str">
        <x:v>是</x:v>
      </x:c>
      <x:c r="H41" s="58" t="str">
        <x:v>SCENE-DELIVERY-010</x:v>
      </x:c>
      <x:c r="I41" s="58" t="str">
        <x:v>货权及交付异常</x:v>
      </x:c>
      <x:c r="J41" s="58" t="str">
        <x:v>事后</x:v>
      </x:c>
      <x:c r="K41" s="58" t="str">
        <x:v>高</x:v>
      </x:c>
      <x:c r="L41" s="58" t="str">
        <x:v>待建设</x:v>
      </x:c>
    </x:row>
    <x:row r="42" ht="15" hidden="0" customHeight="1">
      <x:c r="A42" s="58" t="n">
        <x:v>41</x:v>
      </x:c>
      <x:c r="B42" s="58" t="str">
        <x:v>货权转移异常识别</x:v>
      </x:c>
      <x:c r="C42" s="58" t="str">
        <x:v>703</x:v>
      </x:c>
      <x:c r="D42" s="58" t="str">
        <x:v>非标仓单交易风险检测</x:v>
      </x:c>
      <x:c r="E42" s="58" t="str">
        <x:v>仓单开具主体不在合规交割仓库或厂库名单。</x:v>
      </x:c>
      <x:c r="F42" s="58" t="str">
        <x:v>用户提出</x:v>
      </x:c>
      <x:c r="G42" s="58" t="str">
        <x:v>是</x:v>
      </x:c>
      <x:c r="H42" s="58" t="str">
        <x:v>SCENE-DELIVERY-010</x:v>
      </x:c>
      <x:c r="I42" s="58" t="str">
        <x:v>货权及交付异常</x:v>
      </x:c>
      <x:c r="J42" s="58" t="str">
        <x:v>事前/事中</x:v>
      </x:c>
      <x:c r="K42" s="58" t="str">
        <x:v>重大</x:v>
      </x:c>
      <x:c r="L42" s="58" t="str">
        <x:v>待接外部数据</x:v>
      </x:c>
    </x:row>
    <x:row r="43" ht="15" hidden="0" customHeight="1">
      <x:c r="A43" s="58" t="n">
        <x:v>42</x:v>
      </x:c>
      <x:c r="B43" s="58" t="str">
        <x:v>其他异常识别</x:v>
      </x:c>
      <x:c r="C43" s="58" t="str">
        <x:v>801</x:v>
      </x:c>
      <x:c r="D43" s="58" t="str">
        <x:v>央企空转走单套利检测</x:v>
      </x:c>
      <x:c r="E43" s="58" t="str">
        <x:v>央企项目转包民企、仅收手续费且无实质经营流转。</x:v>
      </x:c>
      <x:c r="F43" s="58" t="str">
        <x:v>用户提出</x:v>
      </x:c>
      <x:c r="G43" s="58" t="str">
        <x:v>是</x:v>
      </x:c>
      <x:c r="H43" s="58" t="str">
        <x:v>SCENE-TRADE-006</x:v>
      </x:c>
      <x:c r="I43" s="58" t="str">
        <x:v>贸易背景及循环贸易</x:v>
      </x:c>
      <x:c r="J43" s="58" t="str">
        <x:v>事中/事后</x:v>
      </x:c>
      <x:c r="K43" s="58" t="str">
        <x:v>重大</x:v>
      </x:c>
      <x:c r="L43" s="58" t="str">
        <x:v>待建设</x:v>
      </x:c>
    </x:row>
    <x:row r="44" ht="15" hidden="0" customHeight="1">
      <x:c r="A44" s="58" t="n">
        <x:v>43</x:v>
      </x:c>
      <x:c r="B44" s="58" t="str">
        <x:v>其他异常识别</x:v>
      </x:c>
      <x:c r="C44" s="58" t="str">
        <x:v>802</x:v>
      </x:c>
      <x:c r="D44" s="58" t="str">
        <x:v>贸易链路虚增环节检测</x:v>
      </x:c>
      <x:c r="E44" s="58" t="str">
        <x:v>识别两端央企、中间民企等冗余嵌套交易链路。</x:v>
      </x:c>
      <x:c r="F44" s="58" t="str">
        <x:v>用户提出</x:v>
      </x:c>
      <x:c r="G44" s="58" t="str">
        <x:v>是</x:v>
      </x:c>
      <x:c r="H44" s="58" t="str">
        <x:v>SCENE-TRADE-006</x:v>
      </x:c>
      <x:c r="I44" s="58" t="str">
        <x:v>贸易背景及循环贸易</x:v>
      </x:c>
      <x:c r="J44" s="58" t="str">
        <x:v>事中/事后</x:v>
      </x:c>
      <x:c r="K44" s="58" t="str">
        <x:v>重大</x:v>
      </x:c>
      <x:c r="L44" s="58" t="str">
        <x:v>待建设</x:v>
      </x:c>
    </x:row>
    <x:row r="45" ht="15" hidden="0" customHeight="1">
      <x:c r="A45" s="58" t="n">
        <x:v>44</x:v>
      </x:c>
      <x:c r="B45" s="58" t="str">
        <x:v>其他异常识别</x:v>
      </x:c>
      <x:c r="C45" s="58" t="str">
        <x:v>803</x:v>
      </x:c>
      <x:c r="D45" s="58" t="str">
        <x:v>民企关联群组交易挖掘检测</x:v>
      </x:c>
      <x:c r="E45" s="58" t="str">
        <x:v>通过图计算挖掘民企矩阵式集群交易和闭环关联交易。</x:v>
      </x:c>
      <x:c r="F45" s="58" t="str">
        <x:v>用户提出</x:v>
      </x:c>
      <x:c r="G45" s="58" t="str">
        <x:v>是</x:v>
      </x:c>
      <x:c r="H45" s="58" t="str">
        <x:v>SCENE-TRADE-006</x:v>
      </x:c>
      <x:c r="I45" s="58" t="str">
        <x:v>贸易背景及循环贸易</x:v>
      </x:c>
      <x:c r="J45" s="58" t="str">
        <x:v>事后</x:v>
      </x:c>
      <x:c r="K45" s="58" t="str">
        <x:v>重大</x:v>
      </x:c>
      <x:c r="L45" s="58" t="str">
        <x:v>待建设</x:v>
      </x:c>
    </x:row>
    <x:row r="46" ht="15" hidden="0" customHeight="1">
      <x:c r="A46" s="58" t="n">
        <x:v>45</x:v>
      </x:c>
      <x:c r="B46" s="58" t="str">
        <x:v>其他异常识别</x:v>
      </x:c>
      <x:c r="C46" s="58" t="str">
        <x:v>804</x:v>
      </x:c>
      <x:c r="D46" s="58" t="str">
        <x:v>企业资金归集异常聚合检测</x:v>
      </x:c>
      <x:c r="E46" s="58" t="str">
        <x:v>按主体聚合连续收支，识别异常资金归集和集中往来。</x:v>
      </x:c>
      <x:c r="F46" s="58" t="str">
        <x:v>用户提出</x:v>
      </x:c>
      <x:c r="G46" s="58" t="str">
        <x:v>是</x:v>
      </x:c>
      <x:c r="H46" s="58" t="str">
        <x:v>SCENE-FUND-009</x:v>
      </x:c>
      <x:c r="I46" s="58" t="str">
        <x:v>资金流异常</x:v>
      </x:c>
      <x:c r="J46" s="58" t="str">
        <x:v>事后</x:v>
      </x:c>
      <x:c r="K46" s="58" t="str">
        <x:v>高</x:v>
      </x:c>
      <x:c r="L46" s="58" t="str">
        <x:v>待建设</x:v>
      </x:c>
    </x:row>
    <x:row r="47" ht="15" hidden="0" customHeight="1">
      <x:c r="A47" s="58" t="n">
        <x:v>46</x:v>
      </x:c>
      <x:c r="B47" s="58" t="str">
        <x:v>其他异常识别</x:v>
      </x:c>
      <x:c r="C47" s="58" t="str">
        <x:v>805</x:v>
      </x:c>
      <x:c r="D47" s="58" t="str">
        <x:v>跨主体货物异常流转链路检测</x:v>
      </x:c>
      <x:c r="E47" s="58" t="str">
        <x:v>货物由央国企售予民企后回流至同集团其他主体。</x:v>
      </x:c>
      <x:c r="F47" s="58" t="str">
        <x:v>用户提出</x:v>
      </x:c>
      <x:c r="G47" s="58" t="str">
        <x:v>是</x:v>
      </x:c>
      <x:c r="H47" s="58" t="str">
        <x:v>SCENE-TRADE-006</x:v>
      </x:c>
      <x:c r="I47" s="58" t="str">
        <x:v>贸易背景及循环贸易</x:v>
      </x:c>
      <x:c r="J47" s="58" t="str">
        <x:v>事后</x:v>
      </x:c>
      <x:c r="K47" s="58" t="str">
        <x:v>重大</x:v>
      </x:c>
      <x:c r="L47" s="58" t="str">
        <x:v>待建设</x:v>
      </x:c>
    </x:row>
    <x:row r="48" ht="15" hidden="0" customHeight="1">
      <x:c r="A48" s="58" t="n">
        <x:v>47</x:v>
      </x:c>
      <x:c r="B48" s="58" t="str">
        <x:v>价格异常识别</x:v>
      </x:c>
      <x:c r="C48" s="58" t="str">
        <x:v>A01</x:v>
      </x:c>
      <x:c r="D48" s="58" t="str">
        <x:v>纵向历史价格异常检测</x:v>
      </x:c>
      <x:c r="E48" s="58" t="str">
        <x:v>同一供应商同一标的物价格较历史基准偏离超过20%。</x:v>
      </x:c>
      <x:c r="F48" s="58" t="str">
        <x:v>用户提出</x:v>
      </x:c>
      <x:c r="G48" s="58" t="str">
        <x:v>是</x:v>
      </x:c>
      <x:c r="H48" s="58" t="str">
        <x:v>SCENE-ORDER-007</x:v>
      </x:c>
      <x:c r="I48" s="58" t="str">
        <x:v>合同订单及价格异常</x:v>
      </x:c>
      <x:c r="J48" s="58" t="str">
        <x:v>事前/事中</x:v>
      </x:c>
      <x:c r="K48" s="58" t="str">
        <x:v>高</x:v>
      </x:c>
      <x:c r="L48" s="58" t="str">
        <x:v>待建设</x:v>
      </x:c>
    </x:row>
    <x:row r="49" ht="15" hidden="0" customHeight="1">
      <x:c r="A49" s="58" t="n">
        <x:v>48</x:v>
      </x:c>
      <x:c r="B49" s="58" t="str">
        <x:v>价格异常识别</x:v>
      </x:c>
      <x:c r="C49" s="58" t="str">
        <x:v>A02</x:v>
      </x:c>
      <x:c r="D49" s="58" t="str">
        <x:v>横向同业价格异常检测</x:v>
      </x:c>
      <x:c r="E49" s="58" t="str">
        <x:v>规格标准化后，不同供应商同一标的物价格差异超过20%。</x:v>
      </x:c>
      <x:c r="F49" s="58" t="str">
        <x:v>用户提出</x:v>
      </x:c>
      <x:c r="G49" s="58" t="str">
        <x:v>是</x:v>
      </x:c>
      <x:c r="H49" s="58" t="str">
        <x:v>SCENE-ORDER-007</x:v>
      </x:c>
      <x:c r="I49" s="58" t="str">
        <x:v>合同订单及价格异常</x:v>
      </x:c>
      <x:c r="J49" s="58" t="str">
        <x:v>事中</x:v>
      </x:c>
      <x:c r="K49" s="58" t="str">
        <x:v>高</x:v>
      </x:c>
      <x:c r="L49" s="58" t="str">
        <x:v>待接外部数据</x:v>
      </x:c>
    </x:row>
    <x:row r="50" ht="15" hidden="0" customHeight="1">
      <x:c r="A50" s="58" t="n">
        <x:v>49</x:v>
      </x:c>
      <x:c r="B50" s="58" t="str">
        <x:v>围串标识别</x:v>
      </x:c>
      <x:c r="C50" s="58" t="str">
        <x:v>B01</x:v>
      </x:c>
      <x:c r="D50" s="58" t="str">
        <x:v>串通投标风险</x:v>
      </x:c>
      <x:c r="E50" s="58" t="str">
        <x:v>检测投标IP、MAC、文件文本及制作元数据是否同源。</x:v>
      </x:c>
      <x:c r="F50" s="58" t="str">
        <x:v>用户提出</x:v>
      </x:c>
      <x:c r="G50" s="58" t="str">
        <x:v>是</x:v>
      </x:c>
      <x:c r="H50" s="58" t="str">
        <x:v>SCENE-BID-003</x:v>
      </x:c>
      <x:c r="I50" s="58" t="str">
        <x:v>围标串标</x:v>
      </x:c>
      <x:c r="J50" s="58" t="str">
        <x:v>事中</x:v>
      </x:c>
      <x:c r="K50" s="58" t="str">
        <x:v>重大</x:v>
      </x:c>
      <x:c r="L50" s="58" t="str">
        <x:v>已实现</x:v>
      </x:c>
    </x:row>
    <x:row r="51" ht="15" hidden="0" customHeight="1">
      <x:c r="A51" s="58" t="n">
        <x:v>50</x:v>
      </x:c>
      <x:c r="B51" s="58" t="str">
        <x:v>围串标识别</x:v>
      </x:c>
      <x:c r="C51" s="58" t="str">
        <x:v>B02</x:v>
      </x:c>
      <x:c r="D51" s="58" t="str">
        <x:v>投标人之间存在关联关系</x:v>
      </x:c>
      <x:c r="E51" s="58" t="str">
        <x:v>检测共同股东、投资关系、高管重合、联系方式及实际控制人。</x:v>
      </x:c>
      <x:c r="F51" s="58" t="str">
        <x:v>用户提出</x:v>
      </x:c>
      <x:c r="G51" s="58" t="str">
        <x:v>是</x:v>
      </x:c>
      <x:c r="H51" s="58" t="str">
        <x:v>SCENE-BID-003</x:v>
      </x:c>
      <x:c r="I51" s="58" t="str">
        <x:v>围标串标</x:v>
      </x:c>
      <x:c r="J51" s="58" t="str">
        <x:v>事前/事中</x:v>
      </x:c>
      <x:c r="K51" s="58" t="str">
        <x:v>重大</x:v>
      </x:c>
      <x:c r="L51" s="58" t="str">
        <x:v>部分实现</x:v>
      </x:c>
    </x:row>
    <x:row r="52" ht="15" hidden="0" customHeight="1">
      <x:c r="A52" s="58" t="n">
        <x:v>51</x:v>
      </x:c>
      <x:c r="B52" s="58" t="str">
        <x:v>围串标识别</x:v>
      </x:c>
      <x:c r="C52" s="58" t="str">
        <x:v>B03</x:v>
      </x:c>
      <x:c r="D52" s="58" t="str">
        <x:v>组团投标</x:v>
      </x:c>
      <x:c r="E52" s="58" t="str">
        <x:v>检测固定供应商或关联供应商群组反复共同投标。</x:v>
      </x:c>
      <x:c r="F52" s="58" t="str">
        <x:v>用户提出</x:v>
      </x:c>
      <x:c r="G52" s="58" t="str">
        <x:v>是</x:v>
      </x:c>
      <x:c r="H52" s="58" t="str">
        <x:v>SCENE-BID-003</x:v>
      </x:c>
      <x:c r="I52" s="58" t="str">
        <x:v>围标串标</x:v>
      </x:c>
      <x:c r="J52" s="58" t="str">
        <x:v>事中/事后</x:v>
      </x:c>
      <x:c r="K52" s="58" t="str">
        <x:v>高</x:v>
      </x:c>
      <x:c r="L52" s="58" t="str">
        <x:v>待建设</x:v>
      </x:c>
    </x:row>
    <x:row r="53" ht="15" hidden="0" customHeight="1">
      <x:c r="A53" s="58" t="n">
        <x:v>52</x:v>
      </x:c>
      <x:c r="B53" s="58" t="str">
        <x:v>智能分析能力</x:v>
      </x:c>
      <x:c r="C53" s="58" t="str">
        <x:v>M101</x:v>
      </x:c>
      <x:c r="D53" s="58" t="str">
        <x:v>智能评标</x:v>
      </x:c>
      <x:c r="E53" s="58" t="str">
        <x:v>输出投标主体综合评分、风险评级和合作建议。</x:v>
      </x:c>
      <x:c r="F53" s="58" t="str">
        <x:v>用户提出</x:v>
      </x:c>
      <x:c r="G53" s="58" t="str">
        <x:v>是</x:v>
      </x:c>
      <x:c r="H53" s="58" t="str">
        <x:v>SCENE-AI-012</x:v>
      </x:c>
      <x:c r="I53" s="58" t="str">
        <x:v>智能评标与合同审查</x:v>
      </x:c>
      <x:c r="J53" s="58" t="str">
        <x:v>事中</x:v>
      </x:c>
      <x:c r="K53" s="58" t="str">
        <x:v>能力</x:v>
      </x:c>
      <x:c r="L53" s="58" t="str">
        <x:v>已实现</x:v>
      </x:c>
    </x:row>
    <x:row r="54" ht="15" hidden="0" customHeight="1">
      <x:c r="A54" s="58" t="n">
        <x:v>53</x:v>
      </x:c>
      <x:c r="B54" s="58" t="str">
        <x:v>合同审查</x:v>
      </x:c>
      <x:c r="C54" s="58" t="str">
        <x:v>M102</x:v>
      </x:c>
      <x:c r="D54" s="58" t="str">
        <x:v>合同风险审查</x:v>
      </x:c>
      <x:c r="E54" s="58" t="str">
        <x:v>识别合同法律、付款、履约、违约及权责不对等风险并给出修改建议。</x:v>
      </x:c>
      <x:c r="F54" s="58" t="str">
        <x:v>用户提出</x:v>
      </x:c>
      <x:c r="G54" s="58" t="str">
        <x:v>是</x:v>
      </x:c>
      <x:c r="H54" s="58" t="str">
        <x:v>SCENE-AI-012</x:v>
      </x:c>
      <x:c r="I54" s="58" t="str">
        <x:v>智能评标与合同审查</x:v>
      </x:c>
      <x:c r="J54" s="58" t="str">
        <x:v>事前/事中</x:v>
      </x:c>
      <x:c r="K54" s="58" t="str">
        <x:v>能力</x:v>
      </x:c>
      <x:c r="L54" s="58" t="str">
        <x:v>待建设</x:v>
      </x:c>
    </x:row>
    <x:row r="55" ht="15" hidden="0" customHeight="1">
      <x:c r="A55" s="58" t="n">
        <x:v>54</x:v>
      </x:c>
      <x:c r="B55" s="58" t="str">
        <x:v>采购方式补充</x:v>
      </x:c>
      <x:c r="C55" s="58" t="str">
        <x:v>CG01</x:v>
      </x:c>
      <x:c r="D55" s="58" t="str">
        <x:v>采购方式不合规综合检测</x:v>
      </x:c>
      <x:c r="E55" s="58" t="str">
        <x:v>覆盖招标阈值、例外审批、单一来源理由、供应商数量、方式变更和集采目录。</x:v>
      </x:c>
      <x:c r="F55" s="58" t="str">
        <x:v>融合补充</x:v>
      </x:c>
      <x:c r="G55" s="58" t="str">
        <x:v>否</x:v>
      </x:c>
      <x:c r="H55" s="58" t="str">
        <x:v>SCENE-CG-001</x:v>
      </x:c>
      <x:c r="I55" s="58" t="str">
        <x:v>采购方式不合规</x:v>
      </x:c>
      <x:c r="J55" s="58" t="str">
        <x:v>事前/事中</x:v>
      </x:c>
      <x:c r="K55" s="58" t="str">
        <x:v>重大</x:v>
      </x:c>
      <x:c r="L55" s="58" t="str">
        <x:v>部分实现</x:v>
      </x:c>
    </x:row>
    <x:row r="56" ht="15" hidden="0" customHeight="1">
      <x:c r="A56" s="58" t="n">
        <x:v>55</x:v>
      </x:c>
      <x:c r="B56" s="58" t="str">
        <x:v>采购方式补充</x:v>
      </x:c>
      <x:c r="C56" s="58" t="str">
        <x:v>CG02</x:v>
      </x:c>
      <x:c r="D56" s="58" t="str">
        <x:v>拆分采购规避集中采购</x:v>
      </x:c>
      <x:c r="E56" s="58" t="str">
        <x:v>识别同需求、同品类、同供应商在短周期内的多笔小额拆分采购。</x:v>
      </x:c>
      <x:c r="F56" s="58" t="str">
        <x:v>融合补充</x:v>
      </x:c>
      <x:c r="G56" s="58" t="str">
        <x:v>否</x:v>
      </x:c>
      <x:c r="H56" s="58" t="str">
        <x:v>SCENE-CG-001</x:v>
      </x:c>
      <x:c r="I56" s="58" t="str">
        <x:v>采购方式不合规</x:v>
      </x:c>
      <x:c r="J56" s="58" t="str">
        <x:v>事前</x:v>
      </x:c>
      <x:c r="K56" s="58" t="str">
        <x:v>高</x:v>
      </x:c>
      <x:c r="L56" s="58" t="str">
        <x:v>已实现</x:v>
      </x:c>
    </x:row>
    <x:row r="57" ht="15" hidden="0" customHeight="1">
      <x:c r="A57" s="58" t="n">
        <x:v>56</x:v>
      </x:c>
      <x:c r="B57" s="58" t="str">
        <x:v>虚假招标补充</x:v>
      </x:c>
      <x:c r="C57" s="58" t="str">
        <x:v>ZB01</x:v>
      </x:c>
      <x:c r="D57" s="58" t="str">
        <x:v>虚假招标综合检测</x:v>
      </x:c>
      <x:c r="E57" s="58" t="str">
        <x:v>识别中标供应商提前介入和招标参数定向设置。</x:v>
      </x:c>
      <x:c r="F57" s="58" t="str">
        <x:v>融合补充</x:v>
      </x:c>
      <x:c r="G57" s="58" t="str">
        <x:v>否</x:v>
      </x:c>
      <x:c r="H57" s="58" t="str">
        <x:v>SCENE-ZB-002</x:v>
      </x:c>
      <x:c r="I57" s="58" t="str">
        <x:v>虚假招标</x:v>
      </x:c>
      <x:c r="J57" s="58" t="str">
        <x:v>事前/事中</x:v>
      </x:c>
      <x:c r="K57" s="58" t="str">
        <x:v>重大</x:v>
      </x:c>
      <x:c r="L57" s="58" t="str">
        <x:v>待建设</x:v>
      </x:c>
    </x:row>
    <x:row r="58" ht="15" hidden="0" customHeight="1">
      <x:c r="A58" s="58" t="n">
        <x:v>57</x:v>
      </x:c>
      <x:c r="B58" s="58" t="str">
        <x:v>围串标补充</x:v>
      </x:c>
      <x:c r="C58" s="58" t="str">
        <x:v>B04</x:v>
      </x:c>
      <x:c r="D58" s="58" t="str">
        <x:v>关联供应商轮流中标</x:v>
      </x:c>
      <x:c r="E58" s="58" t="str">
        <x:v>固定关联供应商群组在多个项目中呈现轮流中标和稳定报价顺序。</x:v>
      </x:c>
      <x:c r="F58" s="58" t="str">
        <x:v>融合补充</x:v>
      </x:c>
      <x:c r="G58" s="58" t="str">
        <x:v>否</x:v>
      </x:c>
      <x:c r="H58" s="58" t="str">
        <x:v>SCENE-BID-003</x:v>
      </x:c>
      <x:c r="I58" s="58" t="str">
        <x:v>围标串标</x:v>
      </x:c>
      <x:c r="J58" s="58" t="str">
        <x:v>事后</x:v>
      </x:c>
      <x:c r="K58" s="58" t="str">
        <x:v>重大</x:v>
      </x:c>
      <x:c r="L58" s="58" t="str">
        <x:v>待建设</x:v>
      </x:c>
    </x:row>
    <x:row r="59" ht="15" hidden="0" customHeight="1">
      <x:c r="A59" s="58" t="n">
        <x:v>58</x:v>
      </x:c>
      <x:c r="B59" s="58" t="str">
        <x:v>围串标补充</x:v>
      </x:c>
      <x:c r="C59" s="58" t="str">
        <x:v>B05</x:v>
      </x:c>
      <x:c r="D59" s="58" t="str">
        <x:v>保证金同源与报价规律异常</x:v>
      </x:c>
      <x:c r="E59" s="58" t="str">
        <x:v>多个投标保证金来源同一账户且报价呈等差或稳定梯度。</x:v>
      </x:c>
      <x:c r="F59" s="58" t="str">
        <x:v>融合补充</x:v>
      </x:c>
      <x:c r="G59" s="58" t="str">
        <x:v>否</x:v>
      </x:c>
      <x:c r="H59" s="58" t="str">
        <x:v>SCENE-BID-003</x:v>
      </x:c>
      <x:c r="I59" s="58" t="str">
        <x:v>围标串标</x:v>
      </x:c>
      <x:c r="J59" s="58" t="str">
        <x:v>事中</x:v>
      </x:c>
      <x:c r="K59" s="58" t="str">
        <x:v>重大</x:v>
      </x:c>
      <x:c r="L59" s="58" t="str">
        <x:v>已实现</x:v>
      </x:c>
    </x:row>
    <x:row r="60" ht="15" hidden="0" customHeight="1">
      <x:c r="A60" s="58" t="n">
        <x:v>59</x:v>
      </x:c>
      <x:c r="B60" s="58" t="str">
        <x:v>流程合规补充</x:v>
      </x:c>
      <x:c r="C60" s="58" t="str">
        <x:v>LC01</x:v>
      </x:c>
      <x:c r="D60" s="58" t="str">
        <x:v>采购流程时序异常</x:v>
      </x:c>
      <x:c r="E60" s="58" t="str">
        <x:v>识别预算、需求、计划、公告、签约等关键事件缺失或顺序倒置。</x:v>
      </x:c>
      <x:c r="F60" s="58" t="str">
        <x:v>融合补充</x:v>
      </x:c>
      <x:c r="G60" s="58" t="str">
        <x:v>否</x:v>
      </x:c>
      <x:c r="H60" s="58" t="str">
        <x:v>SCENE-LC-004</x:v>
      </x:c>
      <x:c r="I60" s="58" t="str">
        <x:v>采购流程不规范</x:v>
      </x:c>
      <x:c r="J60" s="58" t="str">
        <x:v>事前/事中</x:v>
      </x:c>
      <x:c r="K60" s="58" t="str">
        <x:v>高</x:v>
      </x:c>
      <x:c r="L60" s="58" t="str">
        <x:v>部分实现</x:v>
      </x:c>
    </x:row>
    <x:row r="61" ht="15" hidden="0" customHeight="1">
      <x:c r="A61" s="58" t="n">
        <x:v>60</x:v>
      </x:c>
      <x:c r="B61" s="58" t="str">
        <x:v>流程合规补充</x:v>
      </x:c>
      <x:c r="C61" s="58" t="str">
        <x:v>LC02</x:v>
      </x:c>
      <x:c r="D61" s="58" t="str">
        <x:v>采购程序及评审异常</x:v>
      </x:c>
      <x:c r="E61" s="58" t="str">
        <x:v>识别投标期不足、重大变更未延期、专家抽取和评审委员会异常。</x:v>
      </x:c>
      <x:c r="F61" s="58" t="str">
        <x:v>融合补充</x:v>
      </x:c>
      <x:c r="G61" s="58" t="str">
        <x:v>否</x:v>
      </x:c>
      <x:c r="H61" s="58" t="str">
        <x:v>SCENE-LC-004</x:v>
      </x:c>
      <x:c r="I61" s="58" t="str">
        <x:v>采购流程不规范</x:v>
      </x:c>
      <x:c r="J61" s="58" t="str">
        <x:v>事中</x:v>
      </x:c>
      <x:c r="K61" s="58" t="str">
        <x:v>高</x:v>
      </x:c>
      <x:c r="L61" s="58" t="str">
        <x:v>部分实现</x:v>
      </x:c>
    </x:row>
    <x:row r="62" ht="15" hidden="0" customHeight="1">
      <x:c r="A62" s="58" t="n">
        <x:v>61</x:v>
      </x:c>
      <x:c r="B62" s="58" t="str">
        <x:v>资金流补充</x:v>
      </x:c>
      <x:c r="C62" s="58" t="str">
        <x:v>608</x:v>
      </x:c>
      <x:c r="D62" s="58" t="str">
        <x:v>付款后流向采购方关联主体</x:v>
      </x:c>
      <x:c r="E62" s="58" t="str">
        <x:v>付款后短期内大比例资金流向采购方关联企业或关联账户。</x:v>
      </x:c>
      <x:c r="F62" s="58" t="str">
        <x:v>融合补充</x:v>
      </x:c>
      <x:c r="G62" s="58" t="str">
        <x:v>否</x:v>
      </x:c>
      <x:c r="H62" s="58" t="str">
        <x:v>SCENE-FUND-009</x:v>
      </x:c>
      <x:c r="I62" s="58" t="str">
        <x:v>资金流异常</x:v>
      </x:c>
      <x:c r="J62" s="58" t="str">
        <x:v>事后</x:v>
      </x:c>
      <x:c r="K62" s="58" t="str">
        <x:v>重大</x:v>
      </x:c>
      <x:c r="L62" s="58" t="str">
        <x:v>已实现</x:v>
      </x:c>
    </x:row>
    <x:row r="63" ht="15" hidden="0" customHeight="1">
      <x:c r="A63" s="58" t="n">
        <x:v>62</x:v>
      </x:c>
      <x:c r="B63" s="58" t="str">
        <x:v>合同履约补充</x:v>
      </x:c>
      <x:c r="C63" s="58" t="str">
        <x:v>HT01</x:v>
      </x:c>
      <x:c r="D63" s="58" t="str">
        <x:v>中标后合同重大变更</x:v>
      </x:c>
      <x:c r="E63" s="58" t="str">
        <x:v>中标后短期内合同金额、范围或关键条款发生重大变化。</x:v>
      </x:c>
      <x:c r="F63" s="58" t="str">
        <x:v>融合补充</x:v>
      </x:c>
      <x:c r="G63" s="58" t="str">
        <x:v>否</x:v>
      </x:c>
      <x:c r="H63" s="58" t="str">
        <x:v>SCENE-CONTRACT-011</x:v>
      </x:c>
      <x:c r="I63" s="58" t="str">
        <x:v>合同履约与变更异常</x:v>
      </x:c>
      <x:c r="J63" s="58" t="str">
        <x:v>事中/事后</x:v>
      </x:c>
      <x:c r="K63" s="58" t="str">
        <x:v>高</x:v>
      </x:c>
      <x:c r="L63" s="58" t="str">
        <x:v>已实现</x:v>
      </x:c>
    </x:row>
    <x:row r="64" ht="15" hidden="0" customHeight="1">
      <x:c r="A64" s="58" t="n">
        <x:v>63</x:v>
      </x:c>
      <x:c r="B64" s="58" t="str">
        <x:v>合同履约补充</x:v>
      </x:c>
      <x:c r="C64" s="58" t="str">
        <x:v>HT02</x:v>
      </x:c>
      <x:c r="D64" s="58" t="str">
        <x:v>验收前高比例付款</x:v>
      </x:c>
      <x:c r="E64" s="58" t="str">
        <x:v>验收通过前累计付款比例超过合同金额80%。</x:v>
      </x:c>
      <x:c r="F64" s="58" t="str">
        <x:v>融合补充</x:v>
      </x:c>
      <x:c r="G64" s="58" t="str">
        <x:v>否</x:v>
      </x:c>
      <x:c r="H64" s="58" t="str">
        <x:v>SCENE-CONTRACT-011</x:v>
      </x:c>
      <x:c r="I64" s="58" t="str">
        <x:v>合同履约与变更异常</x:v>
      </x:c>
      <x:c r="J64" s="58" t="str">
        <x:v>事中/事后</x:v>
      </x:c>
      <x:c r="K64" s="58" t="str">
        <x:v>高</x:v>
      </x:c>
      <x:c r="L64" s="58" t="str">
        <x:v>已实现</x:v>
      </x:c>
    </x:row>
  </x:sheetData>
  <x:conditionalFormatting sqref="L2:L64">
    <x:cfRule type="containsText" dxfId="0" priority="1" operator="containsText" text="已实现"/>
    <x:cfRule type="containsText" dxfId="1" priority="2" operator="containsText" text="部分实现"/>
    <x:cfRule type="containsText" dxfId="2" priority="3" operator="containsText" text="待建设"/>
    <x:cfRule type="containsText" dxfId="3" priority="4" operator="containsText" text="待接外部数据"/>
  </x:conditionalFormatting>
  <x:pageMargins left="0.7" right="0.7" top="0.75" bottom="0.75" header="0.3" footer="0.3"/>
  <x:tableParts count="1">
    <x:tablePart xmlns:r="http://schemas.openxmlformats.org/officeDocument/2006/relationships" r:id="R8feaa64bd4a949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0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58" hidden="0" customWidth="1"/>
    <x:col min="9" max="9" width="38" hidden="0" customWidth="1"/>
    <x:col min="10" max="10" width="44" hidden="0" customWidth="1"/>
    <x:col min="11" max="11" width="44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15" hidden="0" customHeight="1">
      <x:c r="A1" s="13" t="str">
        <x:v>序号</x:v>
      </x:c>
      <x:c r="B1" s="29" t="str">
        <x:v>主模式编号</x:v>
      </x:c>
      <x:c r="C1" s="29" t="str">
        <x:v>原子规则编号</x:v>
      </x:c>
      <x:c r="D1" s="29" t="str">
        <x:v>原子规则名称</x:v>
      </x:c>
      <x:c r="E1" s="29" t="str">
        <x:v>规则类型</x:v>
      </x:c>
      <x:c r="F1" s="29" t="str">
        <x:v>适用阶段</x:v>
      </x:c>
      <x:c r="G1" s="29" t="str">
        <x:v>默认等级</x:v>
      </x:c>
      <x:c r="H1" s="29" t="str">
        <x:v>规则逻辑</x:v>
      </x:c>
      <x:c r="I1" s="29" t="str">
        <x:v>阈值/判定条件</x:v>
      </x:c>
      <x:c r="J1" s="29" t="str">
        <x:v>数据来源</x:v>
      </x:c>
      <x:c r="K1" s="29" t="str">
        <x:v>证据要求</x:v>
      </x:c>
      <x:c r="L1" s="29" t="str">
        <x:v>规则状态</x:v>
      </x:c>
      <x:c r="M1" s="29" t="str">
        <x:v>当前映射</x:v>
      </x:c>
      <x:c r="N1" s="14" t="str">
        <x:v>共享模式编号</x:v>
      </x:c>
    </x:row>
    <x:row r="2" ht="15" hidden="0" customHeight="1">
      <x:c r="A2" s="57" t="n">
        <x:v>1</x:v>
      </x:c>
      <x:c r="B2" s="57" t="str">
        <x:v>101</x:v>
      </x:c>
      <x:c r="C2" s="57" t="str">
        <x:v>RULE-101-01</x:v>
      </x:c>
      <x:c r="D2" s="57" t="str">
        <x:v>跨单位同标的收支合同检测</x:v>
      </x:c>
      <x:c r="E2" s="57" t="str">
        <x:v>合同配对/聚合</x:v>
      </x:c>
      <x:c r="F2" s="57" t="str">
        <x:v>事中/事后</x:v>
      </x:c>
      <x:c r="G2" s="57" t="str">
        <x:v>重大</x:v>
      </x:c>
      <x:c r="H2" s="57" t="str">
        <x:v>不同交易主体的收支合同标的名称、规格高度雷同且交易方向相反。</x:v>
      </x:c>
      <x:c r="I2" s="57" t="str">
        <x:v>标的名称及规格相似度≥90%，交易方向相反</x:v>
      </x:c>
      <x:c r="J2" s="57" t="str">
        <x:v>ERP合同订单、发票、资金流水、工商关联图谱</x:v>
      </x:c>
      <x:c r="K2" s="57" t="str">
        <x:v>合同订单、发票、业务来源记录、规则命中明细</x:v>
      </x:c>
      <x:c r="L2" s="57" t="str">
        <x:v>已有数据待规则化</x:v>
      </x:c>
      <x:c r="M2" s="57" t="str"/>
      <x:c r="N2" s="57" t="str"/>
    </x:row>
    <x:row r="3" ht="15" hidden="0" customHeight="1">
      <x:c r="A3" s="58" t="n">
        <x:v>2</x:v>
      </x:c>
      <x:c r="B3" s="58" t="str">
        <x:v>103</x:v>
      </x:c>
      <x:c r="C3" s="58" t="str">
        <x:v>RULE-103-01</x:v>
      </x:c>
      <x:c r="D3" s="58" t="str">
        <x:v>同主体同标的收支合同检测</x:v>
      </x:c>
      <x:c r="E3" s="58" t="str">
        <x:v>合同配对/聚合</x:v>
      </x:c>
      <x:c r="F3" s="58" t="str">
        <x:v>事中/事后</x:v>
      </x:c>
      <x:c r="G3" s="58" t="str">
        <x:v>重大</x:v>
      </x:c>
      <x:c r="H3" s="58" t="str">
        <x:v>同一经营主体存在同标的、同规格的双向购销合同。</x:v>
      </x:c>
      <x:c r="I3" s="58" t="str">
        <x:v>同主体、同标的、同规格且交易方向相反</x:v>
      </x:c>
      <x:c r="J3" s="58" t="str">
        <x:v>ERP合同订单、发票、资金流水、工商关联图谱</x:v>
      </x:c>
      <x:c r="K3" s="58" t="str">
        <x:v>合同订单、发票、业务来源记录、规则命中明细</x:v>
      </x:c>
      <x:c r="L3" s="58" t="str">
        <x:v>已有数据待规则化</x:v>
      </x:c>
      <x:c r="M3" s="58" t="str"/>
      <x:c r="N3" s="58" t="str"/>
    </x:row>
    <x:row r="4" ht="15" hidden="0" customHeight="1">
      <x:c r="A4" s="58" t="n">
        <x:v>3</x:v>
      </x:c>
      <x:c r="B4" s="58" t="str">
        <x:v>104</x:v>
      </x:c>
      <x:c r="C4" s="58" t="str">
        <x:v>RULE-104-01</x:v>
      </x:c>
      <x:c r="D4" s="58" t="str">
        <x:v>供应商法定代表人关联检测</x:v>
      </x:c>
      <x:c r="E4" s="58" t="str">
        <x:v>关系路径/图计算</x:v>
      </x:c>
      <x:c r="F4" s="58" t="str">
        <x:v>事前</x:v>
      </x:c>
      <x:c r="G4" s="58" t="str">
        <x:v>重大</x:v>
      </x:c>
      <x:c r="H4" s="58" t="str">
        <x:v>供应商法定代表人与甲方采购、评审或管理人员存在关联。</x:v>
      </x:c>
      <x:c r="I4" s="58" t="str">
        <x:v>关联图谱路径≤2跳</x:v>
      </x:c>
      <x:c r="J4" s="58" t="str">
        <x:v>ERP合同订单、发票、资金流水、工商关联图谱</x:v>
      </x:c>
      <x:c r="K4" s="58" t="str">
        <x:v>合同订单、发票、业务来源记录、规则命中明细</x:v>
      </x:c>
      <x:c r="L4" s="58" t="str">
        <x:v>待接外部数据</x:v>
      </x:c>
      <x:c r="M4" s="58" t="str"/>
      <x:c r="N4" s="58" t="str"/>
    </x:row>
    <x:row r="5" ht="15" hidden="0" customHeight="1">
      <x:c r="A5" s="58" t="n">
        <x:v>4</x:v>
      </x:c>
      <x:c r="B5" s="58" t="str">
        <x:v>105</x:v>
      </x:c>
      <x:c r="C5" s="58" t="str">
        <x:v>RULE-105-01</x:v>
      </x:c>
      <x:c r="D5" s="58" t="str">
        <x:v>供应商自然人股东关联检测</x:v>
      </x:c>
      <x:c r="E5" s="58" t="str">
        <x:v>关系路径/图计算</x:v>
      </x:c>
      <x:c r="F5" s="58" t="str">
        <x:v>事前</x:v>
      </x:c>
      <x:c r="G5" s="58" t="str">
        <x:v>重大</x:v>
      </x:c>
      <x:c r="H5" s="58" t="str">
        <x:v>股权穿透后供应商自然人股东与甲方人员存在利益关联。</x:v>
      </x:c>
      <x:c r="I5" s="58" t="str">
        <x:v>股权穿透后关联路径≤3跳</x:v>
      </x:c>
      <x:c r="J5" s="58" t="str">
        <x:v>ERP合同订单、发票、资金流水、工商关联图谱</x:v>
      </x:c>
      <x:c r="K5" s="58" t="str">
        <x:v>合同订单、发票、业务来源记录、规则命中明细</x:v>
      </x:c>
      <x:c r="L5" s="58" t="str">
        <x:v>待接外部数据</x:v>
      </x:c>
      <x:c r="M5" s="58" t="str"/>
      <x:c r="N5" s="58" t="str"/>
    </x:row>
    <x:row r="6" ht="15" hidden="0" customHeight="1">
      <x:c r="A6" s="58" t="n">
        <x:v>5</x:v>
      </x:c>
      <x:c r="B6" s="58" t="str">
        <x:v>106</x:v>
      </x:c>
      <x:c r="C6" s="58" t="str">
        <x:v>RULE-106-01</x:v>
      </x:c>
      <x:c r="D6" s="58" t="str">
        <x:v>供应商高管人员关联检测</x:v>
      </x:c>
      <x:c r="E6" s="58" t="str">
        <x:v>关系路径/图计算</x:v>
      </x:c>
      <x:c r="F6" s="58" t="str">
        <x:v>事前</x:v>
      </x:c>
      <x:c r="G6" s="58" t="str">
        <x:v>高</x:v>
      </x:c>
      <x:c r="H6" s="58" t="str">
        <x:v>供应商董监高或经营层人员与甲方人员存在任职或利益关联。</x:v>
      </x:c>
      <x:c r="I6" s="58" t="str">
        <x:v>存在共同任职或利益关联路径</x:v>
      </x:c>
      <x:c r="J6" s="58" t="str">
        <x:v>ERP合同订单、发票、资金流水、工商关联图谱</x:v>
      </x:c>
      <x:c r="K6" s="58" t="str">
        <x:v>合同订单、发票、业务来源记录、规则命中明细</x:v>
      </x:c>
      <x:c r="L6" s="58" t="str">
        <x:v>待接外部数据</x:v>
      </x:c>
      <x:c r="M6" s="58" t="str"/>
      <x:c r="N6" s="58" t="str"/>
    </x:row>
    <x:row r="7" ht="15" hidden="0" customHeight="1">
      <x:c r="A7" s="58" t="n">
        <x:v>6</x:v>
      </x:c>
      <x:c r="B7" s="58" t="str">
        <x:v>107</x:v>
      </x:c>
      <x:c r="C7" s="58" t="str">
        <x:v>RULE-107-01</x:v>
      </x:c>
      <x:c r="D7" s="58" t="str">
        <x:v>非主业违规贸易检测</x:v>
      </x:c>
      <x:c r="E7" s="58" t="str">
        <x:v>字段比对</x:v>
      </x:c>
      <x:c r="F7" s="58" t="str">
        <x:v>事前/事中</x:v>
      </x:c>
      <x:c r="G7" s="58" t="str">
        <x:v>高</x:v>
      </x:c>
      <x:c r="H7" s="58" t="str">
        <x:v>贸易品类超出企业经营范围或偏离集团核准主业清单。</x:v>
      </x:c>
      <x:c r="I7" s="58" t="str">
        <x:v>不在经营范围或集团主业白名单</x:v>
      </x:c>
      <x:c r="J7" s="58" t="str">
        <x:v>ERP合同订单、发票、资金流水、工商关联图谱</x:v>
      </x:c>
      <x:c r="K7" s="58" t="str">
        <x:v>合同订单、发票、业务来源记录、规则命中明细</x:v>
      </x:c>
      <x:c r="L7" s="58" t="str">
        <x:v>待接外部数据</x:v>
      </x:c>
      <x:c r="M7" s="58" t="str"/>
      <x:c r="N7" s="58" t="str"/>
    </x:row>
    <x:row r="8" ht="15" hidden="0" customHeight="1">
      <x:c r="A8" s="58" t="n">
        <x:v>7</x:v>
      </x:c>
      <x:c r="B8" s="58" t="str">
        <x:v>201</x:v>
      </x:c>
      <x:c r="C8" s="58" t="str">
        <x:v>RULE-201-01</x:v>
      </x:c>
      <x:c r="D8" s="58" t="str">
        <x:v>贸易超低毛利异常检测</x:v>
      </x:c>
      <x:c r="E8" s="58" t="str">
        <x:v>聚合</x:v>
      </x:c>
      <x:c r="F8" s="58" t="str">
        <x:v>事中/事后</x:v>
      </x:c>
      <x:c r="G8" s="58" t="str">
        <x:v>高</x:v>
      </x:c>
      <x:c r="H8" s="58" t="str">
        <x:v>单笔贸易毛利率低于0.1%。</x:v>
      </x:c>
      <x:c r="I8" s="58" t="str">
        <x:v>毛利率&lt;0.1%</x:v>
      </x:c>
      <x:c r="J8" s="58" t="str">
        <x:v>ERP合同订单、商品主数据、市场价格库</x:v>
      </x:c>
      <x:c r="K8" s="58" t="str">
        <x:v>合同订单、发票、业务来源记录、规则命中明细</x:v>
      </x:c>
      <x:c r="L8" s="58" t="str">
        <x:v>待建设</x:v>
      </x:c>
      <x:c r="M8" s="58" t="str"/>
      <x:c r="N8" s="58" t="str"/>
    </x:row>
    <x:row r="9" ht="15" hidden="0" customHeight="1">
      <x:c r="A9" s="58" t="n">
        <x:v>8</x:v>
      </x:c>
      <x:c r="B9" s="58" t="str">
        <x:v>202</x:v>
      </x:c>
      <x:c r="C9" s="58" t="str">
        <x:v>RULE-202-01</x:v>
      </x:c>
      <x:c r="D9" s="58" t="str">
        <x:v>同货同量小额价差采销检测</x:v>
      </x:c>
      <x:c r="E9" s="58" t="str">
        <x:v>聚合</x:v>
      </x:c>
      <x:c r="F9" s="58" t="str">
        <x:v>事中/事后</x:v>
      </x:c>
      <x:c r="G9" s="58" t="str">
        <x:v>重大</x:v>
      </x:c>
      <x:c r="H9" s="58" t="str">
        <x:v>货物品类和数量一致，购销金额差值低于0.01%。</x:v>
      </x:c>
      <x:c r="I9" s="58" t="str">
        <x:v>数量一致且金额差值率&lt;0.01%</x:v>
      </x:c>
      <x:c r="J9" s="58" t="str">
        <x:v>ERP合同订单、商品主数据、市场价格库</x:v>
      </x:c>
      <x:c r="K9" s="58" t="str">
        <x:v>合同订单、发票、业务来源记录、规则命中明细</x:v>
      </x:c>
      <x:c r="L9" s="58" t="str">
        <x:v>已有数据待规则化</x:v>
      </x:c>
      <x:c r="M9" s="58" t="str"/>
      <x:c r="N9" s="58" t="str"/>
    </x:row>
    <x:row r="10" ht="15" hidden="0" customHeight="1">
      <x:c r="A10" s="58" t="n">
        <x:v>9</x:v>
      </x:c>
      <x:c r="B10" s="58" t="str">
        <x:v>203</x:v>
      </x:c>
      <x:c r="C10" s="58" t="str">
        <x:v>RULE-203-01</x:v>
      </x:c>
      <x:c r="D10" s="58" t="str">
        <x:v>低价差长账期融资贸易检测</x:v>
      </x:c>
      <x:c r="E10" s="58" t="str">
        <x:v>聚合</x:v>
      </x:c>
      <x:c r="F10" s="58" t="str">
        <x:v>事中/事后</x:v>
      </x:c>
      <x:c r="G10" s="58" t="str">
        <x:v>高</x:v>
      </x:c>
      <x:c r="H10" s="58" t="str">
        <x:v>购销价差低于0.5%且账期超过90天。</x:v>
      </x:c>
      <x:c r="I10" s="58" t="str">
        <x:v>价差率&lt;0.5%且账期&gt;90天</x:v>
      </x:c>
      <x:c r="J10" s="58" t="str">
        <x:v>ERP合同订单、商品主数据、市场价格库</x:v>
      </x:c>
      <x:c r="K10" s="58" t="str">
        <x:v>合同订单、发票、业务来源记录、规则命中明细</x:v>
      </x:c>
      <x:c r="L10" s="58" t="str">
        <x:v>待建设</x:v>
      </x:c>
      <x:c r="M10" s="58" t="str"/>
      <x:c r="N10" s="58" t="str"/>
    </x:row>
    <x:row r="11" ht="15" hidden="0" customHeight="1">
      <x:c r="A11" s="58" t="n">
        <x:v>10</x:v>
      </x:c>
      <x:c r="B11" s="58" t="str">
        <x:v>204</x:v>
      </x:c>
      <x:c r="C11" s="58" t="str">
        <x:v>RULE-204-01</x:v>
      </x:c>
      <x:c r="D11" s="58" t="str">
        <x:v>短期商品价格突变异常检测</x:v>
      </x:c>
      <x:c r="E11" s="58" t="str">
        <x:v>聚合</x:v>
      </x:c>
      <x:c r="F11" s="58" t="str">
        <x:v>事中</x:v>
      </x:c>
      <x:c r="G11" s="58" t="str">
        <x:v>高</x:v>
      </x:c>
      <x:c r="H11" s="58" t="str">
        <x:v>24小时内同客户、同商品单价变化超过±8%。</x:v>
      </x:c>
      <x:c r="I11" s="58" t="str">
        <x:v>24小时价格波动绝对值&gt;8%</x:v>
      </x:c>
      <x:c r="J11" s="58" t="str">
        <x:v>ERP合同订单、商品主数据、市场价格库</x:v>
      </x:c>
      <x:c r="K11" s="58" t="str">
        <x:v>合同订单、发票、业务来源记录、规则命中明细</x:v>
      </x:c>
      <x:c r="L11" s="58" t="str">
        <x:v>待建设</x:v>
      </x:c>
      <x:c r="M11" s="58" t="str"/>
      <x:c r="N11" s="58" t="str"/>
    </x:row>
    <x:row r="12" ht="15" hidden="0" customHeight="1">
      <x:c r="A12" s="58" t="n">
        <x:v>11</x:v>
      </x:c>
      <x:c r="B12" s="58" t="str">
        <x:v>301</x:v>
      </x:c>
      <x:c r="C12" s="58" t="str">
        <x:v>RULE-301-01</x:v>
      </x:c>
      <x:c r="D12" s="58" t="str">
        <x:v>空壳资本企业风险检测</x:v>
      </x:c>
      <x:c r="E12" s="58" t="str">
        <x:v>聚合</x:v>
      </x:c>
      <x:c r="F12" s="58" t="str">
        <x:v>事前</x:v>
      </x:c>
      <x:c r="G12" s="58" t="str">
        <x:v>高</x:v>
      </x:c>
      <x:c r="H12" s="58" t="str">
        <x:v>实缴资本低于1000万元且注册地址为集中托管地址。</x:v>
      </x:c>
      <x:c r="I12" s="58" t="str">
        <x:v>实缴资本&lt;1000万元且集中托管地址</x:v>
      </x:c>
      <x:c r="J12" s="58" t="str">
        <x:v>工商公示、司法征信、集团客商主数据、舆情平台</x:v>
      </x:c>
      <x:c r="K12" s="58" t="str">
        <x:v>工商快照、司法名单、社保信息、内部黑名单记录</x:v>
      </x:c>
      <x:c r="L12" s="58" t="str">
        <x:v>待接外部数据</x:v>
      </x:c>
      <x:c r="M12" s="58" t="str"/>
      <x:c r="N12" s="58" t="str"/>
    </x:row>
    <x:row r="13" ht="15" hidden="0" customHeight="1">
      <x:c r="A13" s="58" t="n">
        <x:v>12</x:v>
      </x:c>
      <x:c r="B13" s="58" t="str">
        <x:v>302</x:v>
      </x:c>
      <x:c r="C13" s="58" t="str">
        <x:v>RULE-302-01</x:v>
      </x:c>
      <x:c r="D13" s="58" t="str">
        <x:v>企业社保空心化检测</x:v>
      </x:c>
      <x:c r="E13" s="58" t="str">
        <x:v>聚合</x:v>
      </x:c>
      <x:c r="F13" s="58" t="str">
        <x:v>事前</x:v>
      </x:c>
      <x:c r="G13" s="58" t="str">
        <x:v>高</x:v>
      </x:c>
      <x:c r="H13" s="58" t="str">
        <x:v>近12个月平均参保人数低于10人。</x:v>
      </x:c>
      <x:c r="I13" s="58" t="str">
        <x:v>近12个月平均参保人数&lt;10</x:v>
      </x:c>
      <x:c r="J13" s="58" t="str">
        <x:v>工商公示、司法征信、集团客商主数据、舆情平台</x:v>
      </x:c>
      <x:c r="K13" s="58" t="str">
        <x:v>工商快照、司法名单、社保信息、内部黑名单记录</x:v>
      </x:c>
      <x:c r="L13" s="58" t="str">
        <x:v>待接外部数据</x:v>
      </x:c>
      <x:c r="M13" s="58" t="str"/>
      <x:c r="N13" s="58" t="str"/>
    </x:row>
    <x:row r="14" ht="15" hidden="0" customHeight="1">
      <x:c r="A14" s="58" t="n">
        <x:v>13</x:v>
      </x:c>
      <x:c r="B14" s="58" t="str">
        <x:v>303</x:v>
      </x:c>
      <x:c r="C14" s="58" t="str">
        <x:v>RULE-303-01</x:v>
      </x:c>
      <x:c r="D14" s="58" t="str">
        <x:v>新成立企业风控检测</x:v>
      </x:c>
      <x:c r="E14" s="58" t="str">
        <x:v>聚合</x:v>
      </x:c>
      <x:c r="F14" s="58" t="str">
        <x:v>事前</x:v>
      </x:c>
      <x:c r="G14" s="58" t="str">
        <x:v>中</x:v>
      </x:c>
      <x:c r="H14" s="58" t="str">
        <x:v>企业成立时间不足180天。</x:v>
      </x:c>
      <x:c r="I14" s="58" t="str">
        <x:v>成立天数&lt;180天</x:v>
      </x:c>
      <x:c r="J14" s="58" t="str">
        <x:v>工商公示、司法征信、集团客商主数据、舆情平台</x:v>
      </x:c>
      <x:c r="K14" s="58" t="str">
        <x:v>工商快照、司法名单、社保信息、内部黑名单记录</x:v>
      </x:c>
      <x:c r="L14" s="58" t="str">
        <x:v>待接外部数据</x:v>
      </x:c>
      <x:c r="M14" s="58" t="str"/>
      <x:c r="N14" s="58" t="str"/>
    </x:row>
    <x:row r="15" ht="15" hidden="0" customHeight="1">
      <x:c r="A15" s="58" t="n">
        <x:v>14</x:v>
      </x:c>
      <x:c r="B15" s="58" t="str">
        <x:v>304</x:v>
      </x:c>
      <x:c r="C15" s="58" t="str">
        <x:v>RULE-304-01</x:v>
      </x:c>
      <x:c r="D15" s="58" t="str">
        <x:v>企业经营异常名录检测</x:v>
      </x:c>
      <x:c r="E15" s="58" t="str">
        <x:v>字段比对</x:v>
      </x:c>
      <x:c r="F15" s="58" t="str">
        <x:v>事前</x:v>
      </x:c>
      <x:c r="G15" s="58" t="str">
        <x:v>高</x:v>
      </x:c>
      <x:c r="H15" s="58" t="str">
        <x:v>企业被列入经营异常名录且尚未移出。</x:v>
      </x:c>
      <x:c r="I15" s="58" t="str">
        <x:v>经营异常状态=未移出</x:v>
      </x:c>
      <x:c r="J15" s="58" t="str">
        <x:v>工商公示、司法征信、集团客商主数据、舆情平台</x:v>
      </x:c>
      <x:c r="K15" s="58" t="str">
        <x:v>工商快照、司法名单、社保信息、内部黑名单记录</x:v>
      </x:c>
      <x:c r="L15" s="58" t="str">
        <x:v>待接外部数据</x:v>
      </x:c>
      <x:c r="M15" s="58" t="str"/>
      <x:c r="N15" s="58" t="str"/>
    </x:row>
    <x:row r="16" ht="15" hidden="0" customHeight="1">
      <x:c r="A16" s="58" t="n">
        <x:v>15</x:v>
      </x:c>
      <x:c r="B16" s="58" t="str">
        <x:v>305</x:v>
      </x:c>
      <x:c r="C16" s="58" t="str">
        <x:v>RULE-305-01</x:v>
      </x:c>
      <x:c r="D16" s="58" t="str">
        <x:v>严重违法失信企业检测</x:v>
      </x:c>
      <x:c r="E16" s="58" t="str">
        <x:v>字段比对</x:v>
      </x:c>
      <x:c r="F16" s="58" t="str">
        <x:v>事前</x:v>
      </x:c>
      <x:c r="G16" s="58" t="str">
        <x:v>重大</x:v>
      </x:c>
      <x:c r="H16" s="58" t="str">
        <x:v>企业命中严重违法失信名单。</x:v>
      </x:c>
      <x:c r="I16" s="58" t="str">
        <x:v>命中严重违法失信名单</x:v>
      </x:c>
      <x:c r="J16" s="58" t="str">
        <x:v>工商公示、司法征信、集团客商主数据、舆情平台</x:v>
      </x:c>
      <x:c r="K16" s="58" t="str">
        <x:v>工商快照、司法名单、社保信息、内部黑名单记录</x:v>
      </x:c>
      <x:c r="L16" s="58" t="str">
        <x:v>待接外部数据</x:v>
      </x:c>
      <x:c r="M16" s="58" t="str"/>
      <x:c r="N16" s="58" t="str"/>
    </x:row>
    <x:row r="17" ht="15" hidden="0" customHeight="1">
      <x:c r="A17" s="58" t="n">
        <x:v>16</x:v>
      </x:c>
      <x:c r="B17" s="58" t="str">
        <x:v>306</x:v>
      </x:c>
      <x:c r="C17" s="58" t="str">
        <x:v>RULE-306-01</x:v>
      </x:c>
      <x:c r="D17" s="58" t="str">
        <x:v>法人失信被执行人检测</x:v>
      </x:c>
      <x:c r="E17" s="58" t="str">
        <x:v>字段比对</x:v>
      </x:c>
      <x:c r="F17" s="58" t="str">
        <x:v>事前</x:v>
      </x:c>
      <x:c r="G17" s="58" t="str">
        <x:v>高</x:v>
      </x:c>
      <x:c r="H17" s="58" t="str">
        <x:v>企业法定代表人为失信被执行人。</x:v>
      </x:c>
      <x:c r="I17" s="58" t="str">
        <x:v>法人命中失信被执行人</x:v>
      </x:c>
      <x:c r="J17" s="58" t="str">
        <x:v>工商公示、司法征信、集团客商主数据、舆情平台</x:v>
      </x:c>
      <x:c r="K17" s="58" t="str">
        <x:v>工商快照、司法名单、社保信息、内部黑名单记录</x:v>
      </x:c>
      <x:c r="L17" s="58" t="str">
        <x:v>待接外部数据</x:v>
      </x:c>
      <x:c r="M17" s="58" t="str"/>
      <x:c r="N17" s="58" t="str"/>
    </x:row>
    <x:row r="18" ht="15" hidden="0" customHeight="1">
      <x:c r="A18" s="58" t="n">
        <x:v>17</x:v>
      </x:c>
      <x:c r="B18" s="58" t="str">
        <x:v>307</x:v>
      </x:c>
      <x:c r="C18" s="58" t="str">
        <x:v>RULE-307-01</x:v>
      </x:c>
      <x:c r="D18" s="58" t="str">
        <x:v>企业名称敏感特征检测</x:v>
      </x:c>
      <x:c r="E18" s="58" t="str">
        <x:v>字段比对</x:v>
      </x:c>
      <x:c r="F18" s="58" t="str">
        <x:v>事前</x:v>
      </x:c>
      <x:c r="G18" s="58" t="str">
        <x:v>中</x:v>
      </x:c>
      <x:c r="H18" s="58" t="str">
        <x:v>企业名称命中融资、托盘、套利、大宗等敏感关键词。</x:v>
      </x:c>
      <x:c r="I18" s="58" t="str">
        <x:v>名称命中融资/托盘/套利/大宗关键词</x:v>
      </x:c>
      <x:c r="J18" s="58" t="str">
        <x:v>工商公示、司法征信、集团客商主数据、舆情平台</x:v>
      </x:c>
      <x:c r="K18" s="58" t="str">
        <x:v>工商快照、司法名单、社保信息、内部黑名单记录</x:v>
      </x:c>
      <x:c r="L18" s="58" t="str">
        <x:v>待接外部数据</x:v>
      </x:c>
      <x:c r="M18" s="58" t="str"/>
      <x:c r="N18" s="58" t="str"/>
    </x:row>
    <x:row r="19" ht="15" hidden="0" customHeight="1">
      <x:c r="A19" s="58" t="n">
        <x:v>18</x:v>
      </x:c>
      <x:c r="B19" s="58" t="str">
        <x:v>308</x:v>
      </x:c>
      <x:c r="C19" s="58" t="str">
        <x:v>RULE-308-01</x:v>
      </x:c>
      <x:c r="D19" s="58" t="str">
        <x:v>高比例股权质押风险检测</x:v>
      </x:c>
      <x:c r="E19" s="58" t="str">
        <x:v>聚合</x:v>
      </x:c>
      <x:c r="F19" s="58" t="str">
        <x:v>事前</x:v>
      </x:c>
      <x:c r="G19" s="58" t="str">
        <x:v>高</x:v>
      </x:c>
      <x:c r="H19" s="58" t="str">
        <x:v>企业股权质押比例达到或超过80%。</x:v>
      </x:c>
      <x:c r="I19" s="58" t="str">
        <x:v>股权质押比例≥80%</x:v>
      </x:c>
      <x:c r="J19" s="58" t="str">
        <x:v>工商公示、司法征信、集团客商主数据、舆情平台</x:v>
      </x:c>
      <x:c r="K19" s="58" t="str">
        <x:v>工商快照、司法名单、社保信息、内部黑名单记录</x:v>
      </x:c>
      <x:c r="L19" s="58" t="str">
        <x:v>待接外部数据</x:v>
      </x:c>
      <x:c r="M19" s="58" t="str"/>
      <x:c r="N19" s="58" t="str"/>
    </x:row>
    <x:row r="20" ht="15" hidden="0" customHeight="1">
      <x:c r="A20" s="58" t="n">
        <x:v>19</x:v>
      </x:c>
      <x:c r="B20" s="58" t="str">
        <x:v>309</x:v>
      </x:c>
      <x:c r="C20" s="58" t="str">
        <x:v>RULE-309-01</x:v>
      </x:c>
      <x:c r="D20" s="58" t="str">
        <x:v>密集司法纠纷风险检测</x:v>
      </x:c>
      <x:c r="E20" s="58" t="str">
        <x:v>聚合</x:v>
      </x:c>
      <x:c r="F20" s="58" t="str">
        <x:v>事前</x:v>
      </x:c>
      <x:c r="G20" s="58" t="str">
        <x:v>高</x:v>
      </x:c>
      <x:c r="H20" s="58" t="str">
        <x:v>近12个月作为被告的买卖合同纠纷达到5起。</x:v>
      </x:c>
      <x:c r="I20" s="58" t="str">
        <x:v>近12个月买卖合同纠纷被告次数≥5</x:v>
      </x:c>
      <x:c r="J20" s="58" t="str">
        <x:v>工商公示、司法征信、集团客商主数据、舆情平台</x:v>
      </x:c>
      <x:c r="K20" s="58" t="str">
        <x:v>工商快照、司法名单、社保信息、内部黑名单记录</x:v>
      </x:c>
      <x:c r="L20" s="58" t="str">
        <x:v>待接外部数据</x:v>
      </x:c>
      <x:c r="M20" s="58" t="str"/>
      <x:c r="N20" s="58" t="str"/>
    </x:row>
    <x:row r="21" ht="15" hidden="0" customHeight="1">
      <x:c r="A21" s="58" t="n">
        <x:v>20</x:v>
      </x:c>
      <x:c r="B21" s="58" t="str">
        <x:v>310</x:v>
      </x:c>
      <x:c r="C21" s="58" t="str">
        <x:v>RULE-310-01</x:v>
      </x:c>
      <x:c r="D21" s="58" t="str">
        <x:v>集团内部黑名单匹配检测</x:v>
      </x:c>
      <x:c r="E21" s="58" t="str">
        <x:v>字段比对</x:v>
      </x:c>
      <x:c r="F21" s="58" t="str">
        <x:v>事前</x:v>
      </x:c>
      <x:c r="G21" s="58" t="str">
        <x:v>重大</x:v>
      </x:c>
      <x:c r="H21" s="58" t="str">
        <x:v>交易对手命中集团内部黑名单。</x:v>
      </x:c>
      <x:c r="I21" s="58" t="str">
        <x:v>命中集团黑名单</x:v>
      </x:c>
      <x:c r="J21" s="58" t="str">
        <x:v>工商公示、司法征信、集团客商主数据、舆情平台</x:v>
      </x:c>
      <x:c r="K21" s="58" t="str">
        <x:v>工商快照、司法名单、社保信息、内部黑名单记录</x:v>
      </x:c>
      <x:c r="L21" s="58" t="str">
        <x:v>待接外部数据</x:v>
      </x:c>
      <x:c r="M21" s="58" t="str"/>
      <x:c r="N21" s="58" t="str"/>
    </x:row>
    <x:row r="22" ht="15" hidden="0" customHeight="1">
      <x:c r="A22" s="58" t="n">
        <x:v>21</x:v>
      </x:c>
      <x:c r="B22" s="58" t="str">
        <x:v>311</x:v>
      </x:c>
      <x:c r="C22" s="58" t="str">
        <x:v>RULE-311-01</x:v>
      </x:c>
      <x:c r="D22" s="58" t="str">
        <x:v>外部企业负面舆情</x:v>
      </x:c>
      <x:c r="E22" s="58" t="str">
        <x:v>字段比对</x:v>
      </x:c>
      <x:c r="F22" s="58" t="str">
        <x:v>事前/事中</x:v>
      </x:c>
      <x:c r="G22" s="58" t="str">
        <x:v>高</x:v>
      </x:c>
      <x:c r="H22" s="58" t="str">
        <x:v>企业存在经核实的重大负面舆情。</x:v>
      </x:c>
      <x:c r="I22" s="58" t="str">
        <x:v>重大负面舆情置信度≥配置阈值</x:v>
      </x:c>
      <x:c r="J22" s="58" t="str">
        <x:v>工商公示、司法征信、集团客商主数据、舆情平台</x:v>
      </x:c>
      <x:c r="K22" s="58" t="str">
        <x:v>工商快照、司法名单、社保信息、内部黑名单记录</x:v>
      </x:c>
      <x:c r="L22" s="58" t="str">
        <x:v>待接外部数据</x:v>
      </x:c>
      <x:c r="M22" s="58" t="str"/>
      <x:c r="N22" s="58" t="str"/>
    </x:row>
    <x:row r="23" ht="15" hidden="0" customHeight="1">
      <x:c r="A23" s="58" t="n">
        <x:v>22</x:v>
      </x:c>
      <x:c r="B23" s="58" t="str">
        <x:v>312</x:v>
      </x:c>
      <x:c r="C23" s="58" t="str">
        <x:v>RULE-312-01</x:v>
      </x:c>
      <x:c r="D23" s="58" t="str">
        <x:v>历史长期逾期交易检测</x:v>
      </x:c>
      <x:c r="E23" s="58" t="str">
        <x:v>聚合</x:v>
      </x:c>
      <x:c r="F23" s="58" t="str">
        <x:v>事前</x:v>
      </x:c>
      <x:c r="G23" s="58" t="str">
        <x:v>高</x:v>
      </x:c>
      <x:c r="H23" s="58" t="str">
        <x:v>交易对手存在超过30天的历史逾期履约记录。</x:v>
      </x:c>
      <x:c r="I23" s="58" t="str">
        <x:v>历史逾期天数&gt;30天</x:v>
      </x:c>
      <x:c r="J23" s="58" t="str">
        <x:v>工商公示、司法征信、集团客商主数据、舆情平台</x:v>
      </x:c>
      <x:c r="K23" s="58" t="str">
        <x:v>工商快照、司法名单、社保信息、内部黑名单记录</x:v>
      </x:c>
      <x:c r="L23" s="58" t="str">
        <x:v>待建设</x:v>
      </x:c>
      <x:c r="M23" s="58" t="str"/>
      <x:c r="N23" s="58" t="str"/>
    </x:row>
    <x:row r="24" ht="15" hidden="0" customHeight="1">
      <x:c r="A24" s="58" t="n">
        <x:v>23</x:v>
      </x:c>
      <x:c r="B24" s="58" t="str">
        <x:v>401</x:v>
      </x:c>
      <x:c r="C24" s="58" t="str">
        <x:v>RULE-401-01</x:v>
      </x:c>
      <x:c r="D24" s="58" t="str">
        <x:v>上下游签约主体同源检测</x:v>
      </x:c>
      <x:c r="E24" s="58" t="str">
        <x:v>合同配对/聚合</x:v>
      </x:c>
      <x:c r="F24" s="58" t="str">
        <x:v>事中/事后</x:v>
      </x:c>
      <x:c r="G24" s="58" t="str">
        <x:v>重大</x:v>
      </x:c>
      <x:c r="H24" s="58" t="str">
        <x:v>同一经营主体同时作为本次贸易的上游和下游签约方。</x:v>
      </x:c>
      <x:c r="I24" s="58" t="str">
        <x:v>同一主体同时处于上游和下游签约角色</x:v>
      </x:c>
      <x:c r="J24" s="58" t="str">
        <x:v>工商公示、司法征信、集团客商主数据、舆情平台</x:v>
      </x:c>
      <x:c r="K24" s="58" t="str">
        <x:v>工商快照、司法名单、社保信息、内部黑名单记录</x:v>
      </x:c>
      <x:c r="L24" s="58" t="str">
        <x:v>待建设</x:v>
      </x:c>
      <x:c r="M24" s="58" t="str"/>
      <x:c r="N24" s="58" t="str"/>
    </x:row>
    <x:row r="25" ht="15" hidden="0" customHeight="1">
      <x:c r="A25" s="58" t="n">
        <x:v>24</x:v>
      </x:c>
      <x:c r="B25" s="58" t="str">
        <x:v>402</x:v>
      </x:c>
      <x:c r="C25" s="58" t="str">
        <x:v>RULE-402-01</x:v>
      </x:c>
      <x:c r="D25" s="58" t="str">
        <x:v>关联主体循环贸易检测</x:v>
      </x:c>
      <x:c r="E25" s="58" t="str">
        <x:v>合同配对/聚合</x:v>
      </x:c>
      <x:c r="F25" s="58" t="str">
        <x:v>事中/事后</x:v>
      </x:c>
      <x:c r="G25" s="58" t="str">
        <x:v>重大</x:v>
      </x:c>
      <x:c r="H25" s="58" t="str">
        <x:v>相同主体或关联主体反复签订同质化购销合同。</x:v>
      </x:c>
      <x:c r="I25" s="58" t="str">
        <x:v>关联主体同质化购销合同重复次数≥2</x:v>
      </x:c>
      <x:c r="J25" s="58" t="str">
        <x:v>工商公示、司法征信、集团客商主数据、舆情平台</x:v>
      </x:c>
      <x:c r="K25" s="58" t="str">
        <x:v>工商快照、司法名单、社保信息、内部黑名单记录</x:v>
      </x:c>
      <x:c r="L25" s="58" t="str">
        <x:v>待建设</x:v>
      </x:c>
      <x:c r="M25" s="58" t="str"/>
      <x:c r="N25" s="58" t="str"/>
    </x:row>
    <x:row r="26" ht="15" hidden="0" customHeight="1">
      <x:c r="A26" s="58" t="n">
        <x:v>25</x:v>
      </x:c>
      <x:c r="B26" s="58" t="str">
        <x:v>403</x:v>
      </x:c>
      <x:c r="C26" s="58" t="str">
        <x:v>RULE-403-01</x:v>
      </x:c>
      <x:c r="D26" s="58" t="str">
        <x:v>上下游投资关联关系检测</x:v>
      </x:c>
      <x:c r="E26" s="58" t="str">
        <x:v>关系路径/图计算</x:v>
      </x:c>
      <x:c r="F26" s="58" t="str">
        <x:v>事前/事中</x:v>
      </x:c>
      <x:c r="G26" s="58" t="str">
        <x:v>高</x:v>
      </x:c>
      <x:c r="H26" s="58" t="str">
        <x:v>上下游企业存在投资、控股或交叉持股关系。</x:v>
      </x:c>
      <x:c r="I26" s="58" t="str">
        <x:v>存在投资/控股/交叉持股路径</x:v>
      </x:c>
      <x:c r="J26" s="58" t="str">
        <x:v>工商公示、司法征信、集团客商主数据、舆情平台</x:v>
      </x:c>
      <x:c r="K26" s="58" t="str">
        <x:v>工商快照、司法名单、社保信息、内部黑名单记录</x:v>
      </x:c>
      <x:c r="L26" s="58" t="str">
        <x:v>待接外部数据</x:v>
      </x:c>
      <x:c r="M26" s="58" t="str"/>
      <x:c r="N26" s="58" t="str"/>
    </x:row>
    <x:row r="27" ht="15" hidden="0" customHeight="1">
      <x:c r="A27" s="58" t="n">
        <x:v>26</x:v>
      </x:c>
      <x:c r="B27" s="58" t="str">
        <x:v>404</x:v>
      </x:c>
      <x:c r="C27" s="58" t="str">
        <x:v>RULE-404-01</x:v>
      </x:c>
      <x:c r="D27" s="58" t="str">
        <x:v>上下游高管人员重合检测</x:v>
      </x:c>
      <x:c r="E27" s="58" t="str">
        <x:v>关系路径/图计算</x:v>
      </x:c>
      <x:c r="F27" s="58" t="str">
        <x:v>事前/事中</x:v>
      </x:c>
      <x:c r="G27" s="58" t="str">
        <x:v>高</x:v>
      </x:c>
      <x:c r="H27" s="58" t="str">
        <x:v>上下游企业董监高或经营层人员存在重合。</x:v>
      </x:c>
      <x:c r="I27" s="58" t="str">
        <x:v>上下游高管人员重合人数≥1</x:v>
      </x:c>
      <x:c r="J27" s="58" t="str">
        <x:v>工商公示、司法征信、集团客商主数据、舆情平台</x:v>
      </x:c>
      <x:c r="K27" s="58" t="str">
        <x:v>工商快照、司法名单、社保信息、内部黑名单记录</x:v>
      </x:c>
      <x:c r="L27" s="58" t="str">
        <x:v>待接外部数据</x:v>
      </x:c>
      <x:c r="M27" s="58" t="str"/>
      <x:c r="N27" s="58" t="str"/>
    </x:row>
    <x:row r="28" ht="15" hidden="0" customHeight="1">
      <x:c r="A28" s="58" t="n">
        <x:v>27</x:v>
      </x:c>
      <x:c r="B28" s="58" t="str">
        <x:v>405</x:v>
      </x:c>
      <x:c r="C28" s="58" t="str">
        <x:v>RULE-405-01</x:v>
      </x:c>
      <x:c r="D28" s="58" t="str">
        <x:v>上下游地址联系方式重合检测</x:v>
      </x:c>
      <x:c r="E28" s="58" t="str">
        <x:v>关系路径/图计算</x:v>
      </x:c>
      <x:c r="F28" s="58" t="str">
        <x:v>事前/事中</x:v>
      </x:c>
      <x:c r="G28" s="58" t="str">
        <x:v>高</x:v>
      </x:c>
      <x:c r="H28" s="58" t="str">
        <x:v>上下游企业注册地址、联系电话或联系人信息重合。</x:v>
      </x:c>
      <x:c r="I28" s="58" t="str">
        <x:v>地址/电话/联系人任一高置信重合</x:v>
      </x:c>
      <x:c r="J28" s="58" t="str">
        <x:v>工商公示、司法征信、集团客商主数据、舆情平台</x:v>
      </x:c>
      <x:c r="K28" s="58" t="str">
        <x:v>工商快照、司法名单、社保信息、内部黑名单记录</x:v>
      </x:c>
      <x:c r="L28" s="58" t="str">
        <x:v>待接外部数据</x:v>
      </x:c>
      <x:c r="M28" s="58" t="str"/>
      <x:c r="N28" s="58" t="str"/>
    </x:row>
    <x:row r="29" ht="15" hidden="0" customHeight="1">
      <x:c r="A29" s="58" t="n">
        <x:v>28</x:v>
      </x:c>
      <x:c r="B29" s="58" t="str">
        <x:v>501</x:v>
      </x:c>
      <x:c r="C29" s="58" t="str">
        <x:v>RULE-501-01</x:v>
      </x:c>
      <x:c r="D29" s="58" t="str">
        <x:v>短期客商双向收付款异常检测</x:v>
      </x:c>
      <x:c r="E29" s="58" t="str">
        <x:v>聚合</x:v>
      </x:c>
      <x:c r="F29" s="58" t="str">
        <x:v>事中/事后</x:v>
      </x:c>
      <x:c r="G29" s="58" t="str">
        <x:v>高</x:v>
      </x:c>
      <x:c r="H29" s="58" t="str">
        <x:v>15天内与同一客商或关联主体同时发生收款和付款。</x:v>
      </x:c>
      <x:c r="I29" s="58" t="str">
        <x:v>15天内同时存在收款和付款</x:v>
      </x:c>
      <x:c r="J29" s="58" t="str">
        <x:v>财务总账、应收预付、银企直联资金流水</x:v>
      </x:c>
      <x:c r="K29" s="58" t="str">
        <x:v>合同约定、会计余额、银行流水、账户穿透路径</x:v>
      </x:c>
      <x:c r="L29" s="58" t="str">
        <x:v>已有数据待规则化</x:v>
      </x:c>
      <x:c r="M29" s="58" t="str"/>
      <x:c r="N29" s="58" t="str"/>
    </x:row>
    <x:row r="30" ht="15" hidden="0" customHeight="1">
      <x:c r="A30" s="58" t="n">
        <x:v>29</x:v>
      </x:c>
      <x:c r="B30" s="58" t="str">
        <x:v>502</x:v>
      </x:c>
      <x:c r="C30" s="58" t="str">
        <x:v>RULE-502-01</x:v>
      </x:c>
      <x:c r="D30" s="58" t="str">
        <x:v>客商应收预付双向挂账检测</x:v>
      </x:c>
      <x:c r="E30" s="58" t="str">
        <x:v>聚合</x:v>
      </x:c>
      <x:c r="F30" s="58" t="str">
        <x:v>事中/事后</x:v>
      </x:c>
      <x:c r="G30" s="58" t="str">
        <x:v>高</x:v>
      </x:c>
      <x:c r="H30" s="58" t="str">
        <x:v>同一客商及关联主体同时存在应收和预付余额。</x:v>
      </x:c>
      <x:c r="I30" s="58" t="str">
        <x:v>同时存在应收和预付余额</x:v>
      </x:c>
      <x:c r="J30" s="58" t="str">
        <x:v>财务总账、应收预付、银企直联资金流水</x:v>
      </x:c>
      <x:c r="K30" s="58" t="str">
        <x:v>合同约定、会计余额、银行流水、账户穿透路径</x:v>
      </x:c>
      <x:c r="L30" s="58" t="str">
        <x:v>待建设</x:v>
      </x:c>
      <x:c r="M30" s="58" t="str"/>
      <x:c r="N30" s="58" t="str"/>
    </x:row>
    <x:row r="31" ht="15" hidden="0" customHeight="1">
      <x:c r="A31" s="58" t="n">
        <x:v>30</x:v>
      </x:c>
      <x:c r="B31" s="58" t="str">
        <x:v>503</x:v>
      </x:c>
      <x:c r="C31" s="58" t="str">
        <x:v>RULE-503-01</x:v>
      </x:c>
      <x:c r="D31" s="58" t="str">
        <x:v>三流主体信息不一致检测</x:v>
      </x:c>
      <x:c r="E31" s="58" t="str">
        <x:v>字段比对</x:v>
      </x:c>
      <x:c r="F31" s="58" t="str">
        <x:v>事中/事后</x:v>
      </x:c>
      <x:c r="G31" s="58" t="str">
        <x:v>重大</x:v>
      </x:c>
      <x:c r="H31" s="58" t="str">
        <x:v>合同、发票、收付款主体信息不一致且无有效授权。</x:v>
      </x:c>
      <x:c r="I31" s="58" t="str">
        <x:v>合同/发票/资金主体任一不一致且无授权</x:v>
      </x:c>
      <x:c r="J31" s="58" t="str">
        <x:v>财务总账、应收预付、银企直联资金流水</x:v>
      </x:c>
      <x:c r="K31" s="58" t="str">
        <x:v>合同约定、会计余额、银行流水、账户穿透路径</x:v>
      </x:c>
      <x:c r="L31" s="58" t="str">
        <x:v>已有数据待规则化</x:v>
      </x:c>
      <x:c r="M31" s="58" t="str"/>
      <x:c r="N31" s="58" t="str"/>
    </x:row>
    <x:row r="32" ht="15" hidden="0" customHeight="1">
      <x:c r="A32" s="58" t="n">
        <x:v>31</x:v>
      </x:c>
      <x:c r="B32" s="58" t="str">
        <x:v>601</x:v>
      </x:c>
      <x:c r="C32" s="58" t="str">
        <x:v>RULE-601-01</x:v>
      </x:c>
      <x:c r="D32" s="58" t="str">
        <x:v>累计资金占用异常检测</x:v>
      </x:c>
      <x:c r="E32" s="58" t="str">
        <x:v>聚合</x:v>
      </x:c>
      <x:c r="F32" s="58" t="str">
        <x:v>事中/事后</x:v>
      </x:c>
      <x:c r="G32" s="58" t="str">
        <x:v>高</x:v>
      </x:c>
      <x:c r="H32" s="58" t="str">
        <x:v>累计占用超过配置天数且日均占用超过配置金额。</x:v>
      </x:c>
      <x:c r="I32" s="58" t="str">
        <x:v>占用天数&gt;X且日均占用&gt;Y万元</x:v>
      </x:c>
      <x:c r="J32" s="58" t="str">
        <x:v>财务总账、应收预付、银企直联资金流水</x:v>
      </x:c>
      <x:c r="K32" s="58" t="str">
        <x:v>合同约定、会计余额、银行流水、账户穿透路径</x:v>
      </x:c>
      <x:c r="L32" s="58" t="str">
        <x:v>待建设</x:v>
      </x:c>
      <x:c r="M32" s="58" t="str"/>
      <x:c r="N32" s="58" t="str"/>
    </x:row>
    <x:row r="33" ht="15" hidden="0" customHeight="1">
      <x:c r="A33" s="58" t="n">
        <x:v>32</x:v>
      </x:c>
      <x:c r="B33" s="58" t="str">
        <x:v>602</x:v>
      </x:c>
      <x:c r="C33" s="58" t="str">
        <x:v>RULE-602-01</x:v>
      </x:c>
      <x:c r="D33" s="58" t="str">
        <x:v>大额应收预付逾期检测</x:v>
      </x:c>
      <x:c r="E33" s="58" t="str">
        <x:v>聚合</x:v>
      </x:c>
      <x:c r="F33" s="58" t="str">
        <x:v>事后</x:v>
      </x:c>
      <x:c r="G33" s="58" t="str">
        <x:v>高</x:v>
      </x:c>
      <x:c r="H33" s="58" t="str">
        <x:v>应收或预付发生逾期且逾期金额超过配置阈值。</x:v>
      </x:c>
      <x:c r="I33" s="58" t="str">
        <x:v>逾期金额&gt;N万元</x:v>
      </x:c>
      <x:c r="J33" s="58" t="str">
        <x:v>财务总账、应收预付、银企直联资金流水</x:v>
      </x:c>
      <x:c r="K33" s="58" t="str">
        <x:v>合同约定、会计余额、银行流水、账户穿透路径</x:v>
      </x:c>
      <x:c r="L33" s="58" t="str">
        <x:v>待建设</x:v>
      </x:c>
      <x:c r="M33" s="58" t="str"/>
      <x:c r="N33" s="58" t="str"/>
    </x:row>
    <x:row r="34" ht="15" hidden="0" customHeight="1">
      <x:c r="A34" s="58" t="n">
        <x:v>33</x:v>
      </x:c>
      <x:c r="B34" s="58" t="str">
        <x:v>603</x:v>
      </x:c>
      <x:c r="C34" s="58" t="str">
        <x:v>RULE-603-01</x:v>
      </x:c>
      <x:c r="D34" s="58" t="str">
        <x:v>收付款节点大幅前置异常检测</x:v>
      </x:c>
      <x:c r="E34" s="58" t="str">
        <x:v>字段比对</x:v>
      </x:c>
      <x:c r="F34" s="58" t="str">
        <x:v>事中/事后</x:v>
      </x:c>
      <x:c r="G34" s="58" t="str">
        <x:v>高</x:v>
      </x:c>
      <x:c r="H34" s="58" t="str">
        <x:v>实际收付款时间较合同约定提前90天以上。</x:v>
      </x:c>
      <x:c r="I34" s="58" t="str">
        <x:v>实际节点较合同约定提前&gt;90天</x:v>
      </x:c>
      <x:c r="J34" s="58" t="str">
        <x:v>财务总账、应收预付、银企直联资金流水</x:v>
      </x:c>
      <x:c r="K34" s="58" t="str">
        <x:v>合同约定、会计余额、银行流水、账户穿透路径</x:v>
      </x:c>
      <x:c r="L34" s="58" t="str">
        <x:v>待建设</x:v>
      </x:c>
      <x:c r="M34" s="58" t="str"/>
      <x:c r="N34" s="58" t="str"/>
    </x:row>
    <x:row r="35" ht="15" hidden="0" customHeight="1">
      <x:c r="A35" s="58" t="n">
        <x:v>34</x:v>
      </x:c>
      <x:c r="B35" s="58" t="str">
        <x:v>604</x:v>
      </x:c>
      <x:c r="C35" s="58" t="str">
        <x:v>RULE-604-01</x:v>
      </x:c>
      <x:c r="D35" s="58" t="str">
        <x:v>高预付高负债风险检测</x:v>
      </x:c>
      <x:c r="E35" s="58" t="str">
        <x:v>聚合</x:v>
      </x:c>
      <x:c r="F35" s="58" t="str">
        <x:v>事前/事中</x:v>
      </x:c>
      <x:c r="G35" s="58" t="str">
        <x:v>重大</x:v>
      </x:c>
      <x:c r="H35" s="58" t="str">
        <x:v>预付款比例超过80%且对方资产负债率超过85%。</x:v>
      </x:c>
      <x:c r="I35" s="58" t="str">
        <x:v>预付比例&gt;80%且资产负债率&gt;85%</x:v>
      </x:c>
      <x:c r="J35" s="58" t="str">
        <x:v>财务总账、应收预付、银企直联资金流水</x:v>
      </x:c>
      <x:c r="K35" s="58" t="str">
        <x:v>合同约定、会计余额、银行流水、账户穿透路径</x:v>
      </x:c>
      <x:c r="L35" s="58" t="str">
        <x:v>待建设</x:v>
      </x:c>
      <x:c r="M35" s="58" t="str"/>
      <x:c r="N35" s="58" t="str"/>
    </x:row>
    <x:row r="36" ht="15" hidden="0" customHeight="1">
      <x:c r="A36" s="58" t="n">
        <x:v>35</x:v>
      </x:c>
      <x:c r="B36" s="58" t="str">
        <x:v>605</x:v>
      </x:c>
      <x:c r="C36" s="58" t="str">
        <x:v>RULE-605-01</x:v>
      </x:c>
      <x:c r="D36" s="58" t="str">
        <x:v>上下游回款账户同源检测</x:v>
      </x:c>
      <x:c r="E36" s="58" t="str">
        <x:v>字段比对</x:v>
      </x:c>
      <x:c r="F36" s="58" t="str">
        <x:v>事后</x:v>
      </x:c>
      <x:c r="G36" s="58" t="str">
        <x:v>重大</x:v>
      </x:c>
      <x:c r="H36" s="58" t="str">
        <x:v>上游收款账户与下游回款账户为同一账户。</x:v>
      </x:c>
      <x:c r="I36" s="58" t="str">
        <x:v>上游收款账户=下游回款账户</x:v>
      </x:c>
      <x:c r="J36" s="58" t="str">
        <x:v>财务总账、应收预付、银企直联资金流水</x:v>
      </x:c>
      <x:c r="K36" s="58" t="str">
        <x:v>合同约定、会计余额、银行流水、账户穿透路径</x:v>
      </x:c>
      <x:c r="L36" s="58" t="str">
        <x:v>已有数据待规则化</x:v>
      </x:c>
      <x:c r="M36" s="58" t="str"/>
      <x:c r="N36" s="58" t="str"/>
    </x:row>
    <x:row r="37" ht="15" hidden="0" customHeight="1">
      <x:c r="A37" s="58" t="n">
        <x:v>36</x:v>
      </x:c>
      <x:c r="B37" s="58" t="str">
        <x:v>606</x:v>
      </x:c>
      <x:c r="C37" s="58" t="str">
        <x:v>RULE-606-01</x:v>
      </x:c>
      <x:c r="D37" s="58" t="str">
        <x:v>当日小额差额资金回流检测</x:v>
      </x:c>
      <x:c r="E37" s="58" t="str">
        <x:v>聚合</x:v>
      </x:c>
      <x:c r="F37" s="58" t="str">
        <x:v>事后</x:v>
      </x:c>
      <x:c r="G37" s="58" t="str">
        <x:v>重大</x:v>
      </x:c>
      <x:c r="H37" s="58" t="str">
        <x:v>付款和回款发生在同一天且金额差异低于5%。</x:v>
      </x:c>
      <x:c r="I37" s="58" t="str">
        <x:v>同日收付且金额差值率&lt;5%</x:v>
      </x:c>
      <x:c r="J37" s="58" t="str">
        <x:v>财务总账、应收预付、银企直联资金流水</x:v>
      </x:c>
      <x:c r="K37" s="58" t="str">
        <x:v>合同约定、会计余额、银行流水、账户穿透路径</x:v>
      </x:c>
      <x:c r="L37" s="58" t="str">
        <x:v>已有数据待规则化</x:v>
      </x:c>
      <x:c r="M37" s="58" t="str"/>
      <x:c r="N37" s="58" t="str"/>
    </x:row>
    <x:row r="38" ht="15" hidden="0" customHeight="1">
      <x:c r="A38" s="58" t="n">
        <x:v>37</x:v>
      </x:c>
      <x:c r="B38" s="58" t="str">
        <x:v>607</x:v>
      </x:c>
      <x:c r="C38" s="58" t="str">
        <x:v>RULE-607-01</x:v>
      </x:c>
      <x:c r="D38" s="58" t="str">
        <x:v>个人账户收款异常</x:v>
      </x:c>
      <x:c r="E38" s="58" t="str">
        <x:v>字段比对</x:v>
      </x:c>
      <x:c r="F38" s="58" t="str">
        <x:v>事后</x:v>
      </x:c>
      <x:c r="G38" s="58" t="str">
        <x:v>重大</x:v>
      </x:c>
      <x:c r="H38" s="58" t="str">
        <x:v>贸易回款进入法人、股东、员工或其他个人账户。</x:v>
      </x:c>
      <x:c r="I38" s="58" t="str">
        <x:v>收款账户类型=个人</x:v>
      </x:c>
      <x:c r="J38" s="58" t="str">
        <x:v>财务总账、应收预付、银企直联资金流水</x:v>
      </x:c>
      <x:c r="K38" s="58" t="str">
        <x:v>合同约定、会计余额、银行流水、账户穿透路径</x:v>
      </x:c>
      <x:c r="L38" s="58" t="str">
        <x:v>待建设</x:v>
      </x:c>
      <x:c r="M38" s="58" t="str"/>
      <x:c r="N38" s="58" t="str"/>
    </x:row>
    <x:row r="39" ht="15" hidden="0" customHeight="1">
      <x:c r="A39" s="58" t="n">
        <x:v>38</x:v>
      </x:c>
      <x:c r="B39" s="58" t="str">
        <x:v>701</x:v>
      </x:c>
      <x:c r="C39" s="58" t="str">
        <x:v>RULE-701-01</x:v>
      </x:c>
      <x:c r="D39" s="58" t="str">
        <x:v>收付款无完整交付信息检测</x:v>
      </x:c>
      <x:c r="E39" s="58" t="str">
        <x:v>字段比对</x:v>
      </x:c>
      <x:c r="F39" s="58" t="str">
        <x:v>事后</x:v>
      </x:c>
      <x:c r="G39" s="58" t="str">
        <x:v>重大</x:v>
      </x:c>
      <x:c r="H39" s="58" t="str">
        <x:v>收付款完整但缺失交付单据、物流、签收、入库或验收信息。</x:v>
      </x:c>
      <x:c r="I39" s="58" t="str">
        <x:v>收付款完整且交付凭证缺失或异常</x:v>
      </x:c>
      <x:c r="J39" s="58" t="str">
        <x:v>物流平台、仓储WMS、签收验收、仓单公示名单</x:v>
      </x:c>
      <x:c r="K39" s="58" t="str">
        <x:v>物流轨迹、交付单、入库单、签收验收单、仓单资质</x:v>
      </x:c>
      <x:c r="L39" s="58" t="str">
        <x:v>已实现</x:v>
      </x:c>
      <x:c r="M39" s="58" t="str">
        <x:v>RULE-DEMO-011</x:v>
      </x:c>
      <x:c r="N39" s="58" t="str"/>
    </x:row>
    <x:row r="40" ht="15" hidden="0" customHeight="1">
      <x:c r="A40" s="58" t="n">
        <x:v>39</x:v>
      </x:c>
      <x:c r="B40" s="58" t="str">
        <x:v>702</x:v>
      </x:c>
      <x:c r="C40" s="58" t="str">
        <x:v>RULE-702-01</x:v>
      </x:c>
      <x:c r="D40" s="58" t="str">
        <x:v>采购交付数量不符检测</x:v>
      </x:c>
      <x:c r="E40" s="58" t="str">
        <x:v>字段比对</x:v>
      </x:c>
      <x:c r="F40" s="58" t="str">
        <x:v>事后</x:v>
      </x:c>
      <x:c r="G40" s="58" t="str">
        <x:v>高</x:v>
      </x:c>
      <x:c r="H40" s="58" t="str">
        <x:v>实际交付或入库数量与采购合同约定数量不一致。</x:v>
      </x:c>
      <x:c r="I40" s="58" t="str">
        <x:v>交付/入库数量≠合同数量</x:v>
      </x:c>
      <x:c r="J40" s="58" t="str">
        <x:v>物流平台、仓储WMS、签收验收、仓单公示名单</x:v>
      </x:c>
      <x:c r="K40" s="58" t="str">
        <x:v>物流轨迹、交付单、入库单、签收验收单、仓单资质</x:v>
      </x:c>
      <x:c r="L40" s="58" t="str">
        <x:v>待建设</x:v>
      </x:c>
      <x:c r="M40" s="58" t="str"/>
      <x:c r="N40" s="58" t="str"/>
    </x:row>
    <x:row r="41" ht="15" hidden="0" customHeight="1">
      <x:c r="A41" s="58" t="n">
        <x:v>40</x:v>
      </x:c>
      <x:c r="B41" s="58" t="str">
        <x:v>703</x:v>
      </x:c>
      <x:c r="C41" s="58" t="str">
        <x:v>RULE-703-01</x:v>
      </x:c>
      <x:c r="D41" s="58" t="str">
        <x:v>非标仓单交易风险检测</x:v>
      </x:c>
      <x:c r="E41" s="58" t="str">
        <x:v>字段比对</x:v>
      </x:c>
      <x:c r="F41" s="58" t="str">
        <x:v>事前/事中</x:v>
      </x:c>
      <x:c r="G41" s="58" t="str">
        <x:v>重大</x:v>
      </x:c>
      <x:c r="H41" s="58" t="str">
        <x:v>仓单开具主体不在合规交割仓库或厂库名单。</x:v>
      </x:c>
      <x:c r="I41" s="58" t="str">
        <x:v>仓单主体不在合规仓库名单</x:v>
      </x:c>
      <x:c r="J41" s="58" t="str">
        <x:v>物流平台、仓储WMS、签收验收、仓单公示名单</x:v>
      </x:c>
      <x:c r="K41" s="58" t="str">
        <x:v>物流轨迹、交付单、入库单、签收验收单、仓单资质</x:v>
      </x:c>
      <x:c r="L41" s="58" t="str">
        <x:v>待接外部数据</x:v>
      </x:c>
      <x:c r="M41" s="58" t="str"/>
      <x:c r="N41" s="58" t="str"/>
    </x:row>
    <x:row r="42" ht="15" hidden="0" customHeight="1">
      <x:c r="A42" s="58" t="n">
        <x:v>41</x:v>
      </x:c>
      <x:c r="B42" s="58" t="str">
        <x:v>801</x:v>
      </x:c>
      <x:c r="C42" s="58" t="str">
        <x:v>RULE-801-01</x:v>
      </x:c>
      <x:c r="D42" s="58" t="str">
        <x:v>央企空转走单套利检测</x:v>
      </x:c>
      <x:c r="E42" s="58" t="str">
        <x:v>关系路径/图计算</x:v>
      </x:c>
      <x:c r="F42" s="58" t="str">
        <x:v>事中/事后</x:v>
      </x:c>
      <x:c r="G42" s="58" t="str">
        <x:v>重大</x:v>
      </x:c>
      <x:c r="H42" s="58" t="str">
        <x:v>央企项目转包民企、仅收手续费且无实质经营流转。</x:v>
      </x:c>
      <x:c r="I42" s="58" t="str">
        <x:v>仅收手续费且无货权/物流/经营投入</x:v>
      </x:c>
      <x:c r="J42" s="58" t="str">
        <x:v>ERP合同订单、发票、资金流水、工商关联图谱</x:v>
      </x:c>
      <x:c r="K42" s="58" t="str">
        <x:v>合同订单、发票、业务来源记录、规则命中明细</x:v>
      </x:c>
      <x:c r="L42" s="58" t="str">
        <x:v>待建设</x:v>
      </x:c>
      <x:c r="M42" s="58" t="str"/>
      <x:c r="N42" s="58" t="str"/>
    </x:row>
    <x:row r="43" ht="15" hidden="0" customHeight="1">
      <x:c r="A43" s="58" t="n">
        <x:v>42</x:v>
      </x:c>
      <x:c r="B43" s="58" t="str">
        <x:v>802</x:v>
      </x:c>
      <x:c r="C43" s="58" t="str">
        <x:v>RULE-802-01</x:v>
      </x:c>
      <x:c r="D43" s="58" t="str">
        <x:v>贸易链路虚增环节检测</x:v>
      </x:c>
      <x:c r="E43" s="58" t="str">
        <x:v>关系路径/图计算</x:v>
      </x:c>
      <x:c r="F43" s="58" t="str">
        <x:v>事中/事后</x:v>
      </x:c>
      <x:c r="G43" s="58" t="str">
        <x:v>重大</x:v>
      </x:c>
      <x:c r="H43" s="58" t="str">
        <x:v>识别两端央企、中间民企等冗余嵌套交易链路。</x:v>
      </x:c>
      <x:c r="I43" s="58" t="str">
        <x:v>链路存在冗余中间主体且无增值证据</x:v>
      </x:c>
      <x:c r="J43" s="58" t="str">
        <x:v>ERP合同订单、发票、资金流水、工商关联图谱</x:v>
      </x:c>
      <x:c r="K43" s="58" t="str">
        <x:v>合同订单、发票、业务来源记录、规则命中明细</x:v>
      </x:c>
      <x:c r="L43" s="58" t="str">
        <x:v>待建设</x:v>
      </x:c>
      <x:c r="M43" s="58" t="str"/>
      <x:c r="N43" s="58" t="str"/>
    </x:row>
    <x:row r="44" ht="15" hidden="0" customHeight="1">
      <x:c r="A44" s="58" t="n">
        <x:v>43</x:v>
      </x:c>
      <x:c r="B44" s="58" t="str">
        <x:v>803</x:v>
      </x:c>
      <x:c r="C44" s="58" t="str">
        <x:v>RULE-803-01</x:v>
      </x:c>
      <x:c r="D44" s="58" t="str">
        <x:v>民企关联群组交易挖掘检测</x:v>
      </x:c>
      <x:c r="E44" s="58" t="str">
        <x:v>关系路径/图计算</x:v>
      </x:c>
      <x:c r="F44" s="58" t="str">
        <x:v>事后</x:v>
      </x:c>
      <x:c r="G44" s="58" t="str">
        <x:v>重大</x:v>
      </x:c>
      <x:c r="H44" s="58" t="str">
        <x:v>通过图计算挖掘民企矩阵式集群交易和闭环关联交易。</x:v>
      </x:c>
      <x:c r="I44" s="58" t="str">
        <x:v>图社区形成高密度闭环且资金/合同同向</x:v>
      </x:c>
      <x:c r="J44" s="58" t="str">
        <x:v>ERP合同订单、发票、资金流水、工商关联图谱</x:v>
      </x:c>
      <x:c r="K44" s="58" t="str">
        <x:v>合同订单、发票、业务来源记录、规则命中明细</x:v>
      </x:c>
      <x:c r="L44" s="58" t="str">
        <x:v>待建设</x:v>
      </x:c>
      <x:c r="M44" s="58" t="str"/>
      <x:c r="N44" s="58" t="str"/>
    </x:row>
    <x:row r="45" ht="15" hidden="0" customHeight="1">
      <x:c r="A45" s="58" t="n">
        <x:v>44</x:v>
      </x:c>
      <x:c r="B45" s="58" t="str">
        <x:v>804</x:v>
      </x:c>
      <x:c r="C45" s="58" t="str">
        <x:v>RULE-804-01</x:v>
      </x:c>
      <x:c r="D45" s="58" t="str">
        <x:v>企业资金归集异常聚合检测</x:v>
      </x:c>
      <x:c r="E45" s="58" t="str">
        <x:v>属性</x:v>
      </x:c>
      <x:c r="F45" s="58" t="str">
        <x:v>事后</x:v>
      </x:c>
      <x:c r="G45" s="58" t="str">
        <x:v>高</x:v>
      </x:c>
      <x:c r="H45" s="58" t="str">
        <x:v>按主体聚合连续收支，识别异常资金归集和集中往来。</x:v>
      </x:c>
      <x:c r="I45" s="58" t="str">
        <x:v>周期内资金归集度超过配置阈值</x:v>
      </x:c>
      <x:c r="J45" s="58" t="str">
        <x:v>ERP合同订单、发票、资金流水、工商关联图谱</x:v>
      </x:c>
      <x:c r="K45" s="58" t="str">
        <x:v>合同订单、发票、业务来源记录、规则命中明细</x:v>
      </x:c>
      <x:c r="L45" s="58" t="str">
        <x:v>待建设</x:v>
      </x:c>
      <x:c r="M45" s="58" t="str"/>
      <x:c r="N45" s="58" t="str"/>
    </x:row>
    <x:row r="46" ht="15" hidden="0" customHeight="1">
      <x:c r="A46" s="58" t="n">
        <x:v>45</x:v>
      </x:c>
      <x:c r="B46" s="58" t="str">
        <x:v>805</x:v>
      </x:c>
      <x:c r="C46" s="58" t="str">
        <x:v>RULE-805-01</x:v>
      </x:c>
      <x:c r="D46" s="58" t="str">
        <x:v>跨主体货物异常流转链路检测</x:v>
      </x:c>
      <x:c r="E46" s="58" t="str">
        <x:v>关系路径/图计算</x:v>
      </x:c>
      <x:c r="F46" s="58" t="str">
        <x:v>事后</x:v>
      </x:c>
      <x:c r="G46" s="58" t="str">
        <x:v>重大</x:v>
      </x:c>
      <x:c r="H46" s="58" t="str">
        <x:v>货物由央国企售予民企后回流至同集团其他主体。</x:v>
      </x:c>
      <x:c r="I46" s="58" t="str">
        <x:v>同规格货物跨主体回流集团内部</x:v>
      </x:c>
      <x:c r="J46" s="58" t="str">
        <x:v>ERP合同订单、发票、资金流水、工商关联图谱</x:v>
      </x:c>
      <x:c r="K46" s="58" t="str">
        <x:v>合同订单、发票、业务来源记录、规则命中明细</x:v>
      </x:c>
      <x:c r="L46" s="58" t="str">
        <x:v>待建设</x:v>
      </x:c>
      <x:c r="M46" s="58" t="str"/>
      <x:c r="N46" s="58" t="str"/>
    </x:row>
    <x:row r="47" ht="15" hidden="0" customHeight="1">
      <x:c r="A47" s="58" t="n">
        <x:v>46</x:v>
      </x:c>
      <x:c r="B47" s="58" t="str">
        <x:v>A01</x:v>
      </x:c>
      <x:c r="C47" s="58" t="str">
        <x:v>RULE-A01-01</x:v>
      </x:c>
      <x:c r="D47" s="58" t="str">
        <x:v>纵向历史价格异常检测</x:v>
      </x:c>
      <x:c r="E47" s="58" t="str">
        <x:v>聚合</x:v>
      </x:c>
      <x:c r="F47" s="58" t="str">
        <x:v>事前/事中</x:v>
      </x:c>
      <x:c r="G47" s="58" t="str">
        <x:v>高</x:v>
      </x:c>
      <x:c r="H47" s="58" t="str">
        <x:v>同一供应商同一标的物价格较历史基准偏离超过20%。</x:v>
      </x:c>
      <x:c r="I47" s="58" t="str">
        <x:v>与同供应商历史基准价偏离&gt;20%</x:v>
      </x:c>
      <x:c r="J47" s="58" t="str">
        <x:v>ERP合同订单、商品主数据、市场价格库</x:v>
      </x:c>
      <x:c r="K47" s="58" t="str">
        <x:v>合同订单、发票、业务来源记录、规则命中明细</x:v>
      </x:c>
      <x:c r="L47" s="58" t="str">
        <x:v>待建设</x:v>
      </x:c>
      <x:c r="M47" s="58" t="str"/>
      <x:c r="N47" s="58" t="str"/>
    </x:row>
    <x:row r="48" ht="15" hidden="0" customHeight="1">
      <x:c r="A48" s="58" t="n">
        <x:v>47</x:v>
      </x:c>
      <x:c r="B48" s="58" t="str">
        <x:v>A02</x:v>
      </x:c>
      <x:c r="C48" s="58" t="str">
        <x:v>RULE-A02-01</x:v>
      </x:c>
      <x:c r="D48" s="58" t="str">
        <x:v>横向同业价格异常检测</x:v>
      </x:c>
      <x:c r="E48" s="58" t="str">
        <x:v>聚合</x:v>
      </x:c>
      <x:c r="F48" s="58" t="str">
        <x:v>事中</x:v>
      </x:c>
      <x:c r="G48" s="58" t="str">
        <x:v>高</x:v>
      </x:c>
      <x:c r="H48" s="58" t="str">
        <x:v>规格标准化后，不同供应商同一标的物价格差异超过20%。</x:v>
      </x:c>
      <x:c r="I48" s="58" t="str">
        <x:v>与同批次供应商中位价偏离&gt;20%</x:v>
      </x:c>
      <x:c r="J48" s="58" t="str">
        <x:v>ERP合同订单、商品主数据、市场价格库</x:v>
      </x:c>
      <x:c r="K48" s="58" t="str">
        <x:v>合同订单、发票、业务来源记录、规则命中明细</x:v>
      </x:c>
      <x:c r="L48" s="58" t="str">
        <x:v>待接外部数据</x:v>
      </x:c>
      <x:c r="M48" s="58" t="str"/>
      <x:c r="N48" s="58" t="str"/>
    </x:row>
    <x:row r="49" ht="15" hidden="0" customHeight="1">
      <x:c r="A49" s="58" t="n">
        <x:v>48</x:v>
      </x:c>
      <x:c r="B49" s="58" t="str">
        <x:v>B01</x:v>
      </x:c>
      <x:c r="C49" s="58" t="str">
        <x:v>RULE-B01-01</x:v>
      </x:c>
      <x:c r="D49" s="58" t="str">
        <x:v>投标网络地址或终端同源</x:v>
      </x:c>
      <x:c r="E49" s="58" t="str">
        <x:v>关系路径</x:v>
      </x:c>
      <x:c r="F49" s="58" t="str">
        <x:v>事中</x:v>
      </x:c>
      <x:c r="G49" s="58" t="str">
        <x:v>重大</x:v>
      </x:c>
      <x:c r="H49" s="58" t="str">
        <x:v>比对购买、下载和递交投标文件的IP、MAC及设备指纹。</x:v>
      </x:c>
      <x:c r="I49" s="58" t="str">
        <x:v>两家及以上投标人IP/MAC/设备指纹相同</x:v>
      </x:c>
      <x:c r="J49" s="58" t="str">
        <x:v>电子采购平台、网络日志</x:v>
      </x:c>
      <x:c r="K49" s="58" t="str">
        <x:v>投标日志、IP/MAC、设备指纹</x:v>
      </x:c>
      <x:c r="L49" s="58" t="str">
        <x:v>已实现</x:v>
      </x:c>
      <x:c r="M49" s="58" t="str">
        <x:v>RULE-DEMO-004</x:v>
      </x:c>
      <x:c r="N49" s="58" t="str"/>
    </x:row>
    <x:row r="50" ht="15" hidden="0" customHeight="1">
      <x:c r="A50" s="58" t="n">
        <x:v>49</x:v>
      </x:c>
      <x:c r="B50" s="58" t="str">
        <x:v>B01</x:v>
      </x:c>
      <x:c r="C50" s="58" t="str">
        <x:v>RULE-B01-02</x:v>
      </x:c>
      <x:c r="D50" s="58" t="str">
        <x:v>投标文件文本高度相似</x:v>
      </x:c>
      <x:c r="E50" s="58" t="str">
        <x:v>文本相似</x:v>
      </x:c>
      <x:c r="F50" s="58" t="str">
        <x:v>事中</x:v>
      </x:c>
      <x:c r="G50" s="58" t="str">
        <x:v>重大</x:v>
      </x:c>
      <x:c r="H50" s="58" t="str">
        <x:v>比对技术、商务和价格文件的段落、表格及错别字特征。</x:v>
      </x:c>
      <x:c r="I50" s="58" t="str">
        <x:v>综合文本相似度≥85%</x:v>
      </x:c>
      <x:c r="J50" s="58" t="str">
        <x:v>投标文件解析与文本模型</x:v>
      </x:c>
      <x:c r="K50" s="58" t="str">
        <x:v>文件相似报告、重复片段清单</x:v>
      </x:c>
      <x:c r="L50" s="58" t="str">
        <x:v>已实现</x:v>
      </x:c>
      <x:c r="M50" s="58" t="str">
        <x:v>RULE-DEMO-005</x:v>
      </x:c>
      <x:c r="N50" s="58" t="str"/>
    </x:row>
    <x:row r="51" ht="15" hidden="0" customHeight="1">
      <x:c r="A51" s="58" t="n">
        <x:v>50</x:v>
      </x:c>
      <x:c r="B51" s="58" t="str">
        <x:v>B01</x:v>
      </x:c>
      <x:c r="C51" s="58" t="str">
        <x:v>RULE-B01-03</x:v>
      </x:c>
      <x:c r="D51" s="58" t="str">
        <x:v>投标文件制作元数据同源</x:v>
      </x:c>
      <x:c r="E51" s="58" t="str">
        <x:v>文件元数据</x:v>
      </x:c>
      <x:c r="F51" s="58" t="str">
        <x:v>事中</x:v>
      </x:c>
      <x:c r="G51" s="58" t="str">
        <x:v>高</x:v>
      </x:c>
      <x:c r="H51" s="58" t="str">
        <x:v>比对文件作者、创建软件、设备、模板哈希和修改时间。</x:v>
      </x:c>
      <x:c r="I51" s="58" t="str">
        <x:v>至少2项高置信元数据相同</x:v>
      </x:c>
      <x:c r="J51" s="58" t="str">
        <x:v>投标文件元数据解析</x:v>
      </x:c>
      <x:c r="K51" s="58" t="str">
        <x:v>文件属性、模板哈希、修改记录</x:v>
      </x:c>
      <x:c r="L51" s="58" t="str">
        <x:v>待建设</x:v>
      </x:c>
      <x:c r="M51" s="58" t="str"/>
      <x:c r="N51" s="58" t="str"/>
    </x:row>
    <x:row r="52" ht="15" hidden="0" customHeight="1">
      <x:c r="A52" s="58" t="n">
        <x:v>51</x:v>
      </x:c>
      <x:c r="B52" s="58" t="str">
        <x:v>B02</x:v>
      </x:c>
      <x:c r="C52" s="58" t="str">
        <x:v>RULE-B02-01</x:v>
      </x:c>
      <x:c r="D52" s="58" t="str">
        <x:v>投标人具有相同股东</x:v>
      </x:c>
      <x:c r="E52" s="58" t="str">
        <x:v>关系路径</x:v>
      </x:c>
      <x:c r="F52" s="58" t="str">
        <x:v>事前/事中</x:v>
      </x:c>
      <x:c r="G52" s="58" t="str">
        <x:v>重大</x:v>
      </x:c>
      <x:c r="H52" s="58" t="str">
        <x:v>穿透识别两个或以上投标主体的共同股东。</x:v>
      </x:c>
      <x:c r="I52" s="58" t="str">
        <x:v>共同股东人数≥1</x:v>
      </x:c>
      <x:c r="J52" s="58" t="str">
        <x:v>工商股权图谱</x:v>
      </x:c>
      <x:c r="K52" s="58" t="str">
        <x:v>股东名册、股权穿透路径</x:v>
      </x:c>
      <x:c r="L52" s="58" t="str">
        <x:v>待接外部数据</x:v>
      </x:c>
      <x:c r="M52" s="58" t="str"/>
      <x:c r="N52" s="58" t="str">
        <x:v>102</x:v>
      </x:c>
    </x:row>
    <x:row r="53" ht="15" hidden="0" customHeight="1">
      <x:c r="A53" s="58" t="n">
        <x:v>52</x:v>
      </x:c>
      <x:c r="B53" s="58" t="str">
        <x:v>B02</x:v>
      </x:c>
      <x:c r="C53" s="58" t="str">
        <x:v>RULE-B02-02</x:v>
      </x:c>
      <x:c r="D53" s="58" t="str">
        <x:v>投标人存在投资或交叉持股</x:v>
      </x:c>
      <x:c r="E53" s="58" t="str">
        <x:v>关系路径</x:v>
      </x:c>
      <x:c r="F53" s="58" t="str">
        <x:v>事前/事中</x:v>
      </x:c>
      <x:c r="G53" s="58" t="str">
        <x:v>重大</x:v>
      </x:c>
      <x:c r="H53" s="58" t="str">
        <x:v>识别投标主体间直接、间接投资或交叉持股。</x:v>
      </x:c>
      <x:c r="I53" s="58" t="str">
        <x:v>投资关联路径≤3跳</x:v>
      </x:c>
      <x:c r="J53" s="58" t="str">
        <x:v>工商股权图谱</x:v>
      </x:c>
      <x:c r="K53" s="58" t="str">
        <x:v>投资关系、持股比例、穿透路径</x:v>
      </x:c>
      <x:c r="L53" s="58" t="str">
        <x:v>待接外部数据</x:v>
      </x:c>
      <x:c r="M53" s="58" t="str"/>
      <x:c r="N53" s="58" t="str">
        <x:v>102</x:v>
      </x:c>
    </x:row>
    <x:row r="54" ht="15" hidden="0" customHeight="1">
      <x:c r="A54" s="58" t="n">
        <x:v>53</x:v>
      </x:c>
      <x:c r="B54" s="58" t="str">
        <x:v>B02</x:v>
      </x:c>
      <x:c r="C54" s="58" t="str">
        <x:v>RULE-B02-03</x:v>
      </x:c>
      <x:c r="D54" s="58" t="str">
        <x:v>投标人高管人员重合</x:v>
      </x:c>
      <x:c r="E54" s="58" t="str">
        <x:v>关系路径</x:v>
      </x:c>
      <x:c r="F54" s="58" t="str">
        <x:v>事前/事中</x:v>
      </x:c>
      <x:c r="G54" s="58" t="str">
        <x:v>高</x:v>
      </x:c>
      <x:c r="H54" s="58" t="str">
        <x:v>识别法定代表人、董监高及关键人员重合。</x:v>
      </x:c>
      <x:c r="I54" s="58" t="str">
        <x:v>重合人员数≥1</x:v>
      </x:c>
      <x:c r="J54" s="58" t="str">
        <x:v>工商任职图谱</x:v>
      </x:c>
      <x:c r="K54" s="58" t="str">
        <x:v>人员任职记录、关系路径</x:v>
      </x:c>
      <x:c r="L54" s="58" t="str">
        <x:v>待接外部数据</x:v>
      </x:c>
      <x:c r="M54" s="58" t="str"/>
      <x:c r="N54" s="58" t="str"/>
    </x:row>
    <x:row r="55" ht="15" hidden="0" customHeight="1">
      <x:c r="A55" s="58" t="n">
        <x:v>54</x:v>
      </x:c>
      <x:c r="B55" s="58" t="str">
        <x:v>B02</x:v>
      </x:c>
      <x:c r="C55" s="58" t="str">
        <x:v>RULE-B02-04</x:v>
      </x:c>
      <x:c r="D55" s="58" t="str">
        <x:v>投标人联系方式或地址重合</x:v>
      </x:c>
      <x:c r="E55" s="58" t="str">
        <x:v>字段比对</x:v>
      </x:c>
      <x:c r="F55" s="58" t="str">
        <x:v>事中</x:v>
      </x:c>
      <x:c r="G55" s="58" t="str">
        <x:v>高</x:v>
      </x:c>
      <x:c r="H55" s="58" t="str">
        <x:v>比对联系人、手机、邮箱和办公地址。</x:v>
      </x:c>
      <x:c r="I55" s="58" t="str">
        <x:v>任一高置信字段重合</x:v>
      </x:c>
      <x:c r="J55" s="58" t="str">
        <x:v>电子采购平台、工商主数据</x:v>
      </x:c>
      <x:c r="K55" s="58" t="str">
        <x:v>报名信息、工商地址、联系方式</x:v>
      </x:c>
      <x:c r="L55" s="58" t="str">
        <x:v>待接外部数据</x:v>
      </x:c>
      <x:c r="M55" s="58" t="str"/>
      <x:c r="N55" s="58" t="str"/>
    </x:row>
    <x:row r="56" ht="15" hidden="0" customHeight="1">
      <x:c r="A56" s="58" t="n">
        <x:v>55</x:v>
      </x:c>
      <x:c r="B56" s="58" t="str">
        <x:v>B02</x:v>
      </x:c>
      <x:c r="C56" s="58" t="str">
        <x:v>RULE-B02-05</x:v>
      </x:c>
      <x:c r="D56" s="58" t="str">
        <x:v>多家投标人受同一实际控制人控制</x:v>
      </x:c>
      <x:c r="E56" s="58" t="str">
        <x:v>关系路径</x:v>
      </x:c>
      <x:c r="F56" s="58" t="str">
        <x:v>事中</x:v>
      </x:c>
      <x:c r="G56" s="58" t="str">
        <x:v>重大</x:v>
      </x:c>
      <x:c r="H56" s="58" t="str">
        <x:v>识别多个投标主体指向同一实际控制人的控制路径。</x:v>
      </x:c>
      <x:c r="I56" s="58" t="str">
        <x:v>共同实际控制人数量≥1</x:v>
      </x:c>
      <x:c r="J56" s="58" t="str">
        <x:v>工商股权图谱</x:v>
      </x:c>
      <x:c r="K56" s="58" t="str">
        <x:v>实际控制路径、控制比例</x:v>
      </x:c>
      <x:c r="L56" s="58" t="str">
        <x:v>已实现</x:v>
      </x:c>
      <x:c r="M56" s="58" t="str">
        <x:v>RULE-DEMO-006</x:v>
      </x:c>
      <x:c r="N56" s="58" t="str"/>
    </x:row>
    <x:row r="57" ht="15" hidden="0" customHeight="1">
      <x:c r="A57" s="58" t="n">
        <x:v>56</x:v>
      </x:c>
      <x:c r="B57" s="58" t="str">
        <x:v>B03</x:v>
      </x:c>
      <x:c r="C57" s="58" t="str">
        <x:v>RULE-B03-01</x:v>
      </x:c>
      <x:c r="D57" s="58" t="str">
        <x:v>固定供应商共同投标达到三次</x:v>
      </x:c>
      <x:c r="E57" s="58" t="str">
        <x:v>聚合</x:v>
      </x:c>
      <x:c r="F57" s="58" t="str">
        <x:v>事中/事后</x:v>
      </x:c>
      <x:c r="G57" s="58" t="str">
        <x:v>高</x:v>
      </x:c>
      <x:c r="H57" s="58" t="str">
        <x:v>统计12个月内供应商组合共同参与标段的次数。</x:v>
      </x:c>
      <x:c r="I57" s="58" t="str">
        <x:v>共同投标次数≥3</x:v>
      </x:c>
      <x:c r="J57" s="58" t="str">
        <x:v>电子采购平台</x:v>
      </x:c>
      <x:c r="K57" s="58" t="str">
        <x:v>历史投标项目及参与主体</x:v>
      </x:c>
      <x:c r="L57" s="58" t="str">
        <x:v>待建设</x:v>
      </x:c>
      <x:c r="M57" s="58" t="str"/>
      <x:c r="N57" s="58" t="str"/>
    </x:row>
    <x:row r="58" ht="15" hidden="0" customHeight="1">
      <x:c r="A58" s="58" t="n">
        <x:v>57</x:v>
      </x:c>
      <x:c r="B58" s="58" t="str">
        <x:v>B03</x:v>
      </x:c>
      <x:c r="C58" s="58" t="str">
        <x:v>RULE-B03-02</x:v>
      </x:c>
      <x:c r="D58" s="58" t="str">
        <x:v>关联供应商群组累计共同投标</x:v>
      </x:c>
      <x:c r="E58" s="58" t="str">
        <x:v>图计算/聚合</x:v>
      </x:c>
      <x:c r="F58" s="58" t="str">
        <x:v>事中/事后</x:v>
      </x:c>
      <x:c r="G58" s="58" t="str">
        <x:v>重大</x:v>
      </x:c>
      <x:c r="H58" s="58" t="str">
        <x:v>合并供应商关联群组后统计共同投标次数。</x:v>
      </x:c>
      <x:c r="I58" s="58" t="str">
        <x:v>关联群组共同投标次数≥3</x:v>
      </x:c>
      <x:c r="J58" s="58" t="str">
        <x:v>电子采购平台、工商关联图谱</x:v>
      </x:c>
      <x:c r="K58" s="58" t="str">
        <x:v>群组成员、关联路径、投标记录</x:v>
      </x:c>
      <x:c r="L58" s="58" t="str">
        <x:v>待建设</x:v>
      </x:c>
      <x:c r="M58" s="58" t="str"/>
      <x:c r="N58" s="58" t="str"/>
    </x:row>
    <x:row r="59" ht="15" hidden="0" customHeight="1">
      <x:c r="A59" s="58" t="n">
        <x:v>58</x:v>
      </x:c>
      <x:c r="B59" s="58" t="str">
        <x:v>B03</x:v>
      </x:c>
      <x:c r="C59" s="58" t="str">
        <x:v>RULE-B03-03</x:v>
      </x:c>
      <x:c r="D59" s="58" t="str">
        <x:v>陪标单位规律性废标</x:v>
      </x:c>
      <x:c r="E59" s="58" t="str">
        <x:v>聚合</x:v>
      </x:c>
      <x:c r="F59" s="58" t="str">
        <x:v>事中/事后</x:v>
      </x:c>
      <x:c r="G59" s="58" t="str">
        <x:v>高</x:v>
      </x:c>
      <x:c r="H59" s="58" t="str">
        <x:v>识别共同投标中长期因低级形式问题废标且从未中标的主体。</x:v>
      </x:c>
      <x:c r="I59" s="58" t="str">
        <x:v>12个月共同投标≥3且异常废标≥2</x:v>
      </x:c>
      <x:c r="J59" s="58" t="str">
        <x:v>电子采购平台</x:v>
      </x:c>
      <x:c r="K59" s="58" t="str">
        <x:v>废标原因、报价、中标历史</x:v>
      </x:c>
      <x:c r="L59" s="58" t="str">
        <x:v>待建设</x:v>
      </x:c>
      <x:c r="M59" s="58" t="str"/>
      <x:c r="N59" s="58" t="str"/>
    </x:row>
    <x:row r="60" ht="15" hidden="0" customHeight="1">
      <x:c r="A60" s="58" t="n">
        <x:v>59</x:v>
      </x:c>
      <x:c r="B60" s="58" t="str">
        <x:v>M101</x:v>
      </x:c>
      <x:c r="C60" s="58" t="str">
        <x:v>RULE-M101-01</x:v>
      </x:c>
      <x:c r="D60" s="58" t="str">
        <x:v>投标主体智能综合评标</x:v>
      </x:c>
      <x:c r="E60" s="58" t="str">
        <x:v>智能服务</x:v>
      </x:c>
      <x:c r="F60" s="58" t="str">
        <x:v>事中</x:v>
      </x:c>
      <x:c r="G60" s="58" t="str">
        <x:v>能力</x:v>
      </x:c>
      <x:c r="H60" s="58" t="str">
        <x:v>融合技术、商务、价格及图谱关联风险形成综合评分和建议。</x:v>
      </x:c>
      <x:c r="I60" s="58" t="str">
        <x:v>输出综合评分、风险等级及合作建议</x:v>
      </x:c>
      <x:c r="J60" s="58" t="str">
        <x:v>投标文件、评分模型、关联图谱</x:v>
      </x:c>
      <x:c r="K60" s="58" t="str">
        <x:v>评分明细、扣分原因、模型版本</x:v>
      </x:c>
      <x:c r="L60" s="58" t="str">
        <x:v>已实现</x:v>
      </x:c>
      <x:c r="M60" s="58" t="str">
        <x:v>智能评标数据6条</x:v>
      </x:c>
      <x:c r="N60" s="58" t="str"/>
    </x:row>
    <x:row r="61" ht="15" hidden="0" customHeight="1">
      <x:c r="A61" s="58" t="n">
        <x:v>60</x:v>
      </x:c>
      <x:c r="B61" s="58" t="str">
        <x:v>M102</x:v>
      </x:c>
      <x:c r="C61" s="58" t="str">
        <x:v>RULE-M102-01</x:v>
      </x:c>
      <x:c r="D61" s="58" t="str">
        <x:v>合同法律与履约风险智能审查</x:v>
      </x:c>
      <x:c r="E61" s="58" t="str">
        <x:v>智能服务</x:v>
      </x:c>
      <x:c r="F61" s="58" t="str">
        <x:v>事前/事中</x:v>
      </x:c>
      <x:c r="G61" s="58" t="str">
        <x:v>能力</x:v>
      </x:c>
      <x:c r="H61" s="58" t="str">
        <x:v>识别缺失条款、权责不对等、付款、违约及履约风险并生成修改建议。</x:v>
      </x:c>
      <x:c r="I61" s="58" t="str">
        <x:v>输出风险条款、等级和修改建议</x:v>
      </x:c>
      <x:c r="J61" s="58" t="str">
        <x:v>合同文本、条款库、法律规则库</x:v>
      </x:c>
      <x:c r="K61" s="58" t="str">
        <x:v>条款定位、风险说明、修改建议</x:v>
      </x:c>
      <x:c r="L61" s="58" t="str">
        <x:v>待建设</x:v>
      </x:c>
      <x:c r="M61" s="58" t="str"/>
      <x:c r="N61" s="58" t="str"/>
    </x:row>
    <x:row r="62" ht="15" hidden="0" customHeight="1">
      <x:c r="A62" s="58" t="n">
        <x:v>61</x:v>
      </x:c>
      <x:c r="B62" s="58" t="str">
        <x:v>CG01</x:v>
      </x:c>
      <x:c r="C62" s="58" t="str">
        <x:v>RULE-CG01-01</x:v>
      </x:c>
      <x:c r="D62" s="58" t="str">
        <x:v>达到公开招标阈值但采用非公开方式</x:v>
      </x:c>
      <x:c r="E62" s="58" t="str">
        <x:v>字段比对</x:v>
      </x:c>
      <x:c r="F62" s="58" t="str">
        <x:v>事前</x:v>
      </x:c>
      <x:c r="G62" s="58" t="str">
        <x:v>重大</x:v>
      </x:c>
      <x:c r="H62" s="58" t="str">
        <x:v>采购金额达到公开招标阈值，但采购方式不是公开招标。</x:v>
      </x:c>
      <x:c r="I62" s="58" t="str">
        <x:v>金额≥组织及品类有效阈值</x:v>
      </x:c>
      <x:c r="J62" s="58" t="str">
        <x:v>采购计划、制度阈值配置</x:v>
      </x:c>
      <x:c r="K62" s="58" t="str">
        <x:v>预算金额、采购方式、阈值版本</x:v>
      </x:c>
      <x:c r="L62" s="58" t="str">
        <x:v>已实现</x:v>
      </x:c>
      <x:c r="M62" s="58" t="str">
        <x:v>RULE-DEMO-001</x:v>
      </x:c>
      <x:c r="N62" s="58" t="str"/>
    </x:row>
    <x:row r="63" ht="15" hidden="0" customHeight="1">
      <x:c r="A63" s="58" t="n">
        <x:v>62</x:v>
      </x:c>
      <x:c r="B63" s="58" t="str">
        <x:v>CG01</x:v>
      </x:c>
      <x:c r="C63" s="58" t="str">
        <x:v>RULE-CG01-02</x:v>
      </x:c>
      <x:c r="D63" s="58" t="str">
        <x:v>非公开采购缺少有效例外审批</x:v>
      </x:c>
      <x:c r="E63" s="58" t="str">
        <x:v>字段比对</x:v>
      </x:c>
      <x:c r="F63" s="58" t="str">
        <x:v>事前</x:v>
      </x:c>
      <x:c r="G63" s="58" t="str">
        <x:v>高</x:v>
      </x:c>
      <x:c r="H63" s="58" t="str">
        <x:v>非公开采购未关联有效例外事项和审批单。</x:v>
      </x:c>
      <x:c r="I63" s="58" t="str">
        <x:v>例外审批为空、过期或审批未通过</x:v>
      </x:c>
      <x:c r="J63" s="58" t="str">
        <x:v>采购审批、例外事项库</x:v>
      </x:c>
      <x:c r="K63" s="58" t="str">
        <x:v>审批单、例外原因、有效期</x:v>
      </x:c>
      <x:c r="L63" s="58" t="str">
        <x:v>已实现</x:v>
      </x:c>
      <x:c r="M63" s="58" t="str">
        <x:v>RULE-DEMO-002</x:v>
      </x:c>
      <x:c r="N63" s="58" t="str"/>
    </x:row>
    <x:row r="64" ht="15" hidden="0" customHeight="1">
      <x:c r="A64" s="58" t="n">
        <x:v>63</x:v>
      </x:c>
      <x:c r="B64" s="58" t="str">
        <x:v>CG01</x:v>
      </x:c>
      <x:c r="C64" s="58" t="str">
        <x:v>RULE-CG01-03</x:v>
      </x:c>
      <x:c r="D64" s="58" t="str">
        <x:v>单一来源理由与事实不匹配</x:v>
      </x:c>
      <x:c r="E64" s="58" t="str">
        <x:v>字段比对</x:v>
      </x:c>
      <x:c r="F64" s="58" t="str">
        <x:v>事前</x:v>
      </x:c>
      <x:c r="G64" s="58" t="str">
        <x:v>高</x:v>
      </x:c>
      <x:c r="H64" s="58" t="str">
        <x:v>采用单一来源但缺少唯一性、专利专有或连续性证明。</x:v>
      </x:c>
      <x:c r="I64" s="58" t="str">
        <x:v>理由不在允许范围或证明材料不完整</x:v>
      </x:c>
      <x:c r="J64" s="58" t="str">
        <x:v>采购审批、供应商资质</x:v>
      </x:c>
      <x:c r="K64" s="58" t="str">
        <x:v>采购理由、唯一性证明、审批记录</x:v>
      </x:c>
      <x:c r="L64" s="58" t="str">
        <x:v>待建设</x:v>
      </x:c>
      <x:c r="M64" s="58" t="str"/>
      <x:c r="N64" s="58" t="str"/>
    </x:row>
    <x:row r="65" ht="15" hidden="0" customHeight="1">
      <x:c r="A65" s="58" t="n">
        <x:v>64</x:v>
      </x:c>
      <x:c r="B65" s="58" t="str">
        <x:v>CG01</x:v>
      </x:c>
      <x:c r="C65" s="58" t="str">
        <x:v>RULE-CG01-04</x:v>
      </x:c>
      <x:c r="D65" s="58" t="str">
        <x:v>有效竞争供应商数量不足</x:v>
      </x:c>
      <x:c r="E65" s="58" t="str">
        <x:v>聚合</x:v>
      </x:c>
      <x:c r="F65" s="58" t="str">
        <x:v>事中</x:v>
      </x:c>
      <x:c r="G65" s="58" t="str">
        <x:v>高</x:v>
      </x:c>
      <x:c r="H65" s="58" t="str">
        <x:v>询比价、竞争性谈判有效响应供应商不足且无例外审批。</x:v>
      </x:c>
      <x:c r="I65" s="58" t="str">
        <x:v>有效供应商数量&lt;3</x:v>
      </x:c>
      <x:c r="J65" s="58" t="str">
        <x:v>电子采购平台</x:v>
      </x:c>
      <x:c r="K65" s="58" t="str">
        <x:v>报名、响应、资格审查及例外审批</x:v>
      </x:c>
      <x:c r="L65" s="58" t="str">
        <x:v>待建设</x:v>
      </x:c>
      <x:c r="M65" s="58" t="str"/>
      <x:c r="N65" s="58" t="str"/>
    </x:row>
    <x:row r="66" ht="15" hidden="0" customHeight="1">
      <x:c r="A66" s="58" t="n">
        <x:v>65</x:v>
      </x:c>
      <x:c r="B66" s="58" t="str">
        <x:v>CG01</x:v>
      </x:c>
      <x:c r="C66" s="58" t="str">
        <x:v>RULE-CG01-05</x:v>
      </x:c>
      <x:c r="D66" s="58" t="str">
        <x:v>采购方式变更未重新审批</x:v>
      </x:c>
      <x:c r="E66" s="58" t="str">
        <x:v>时序</x:v>
      </x:c>
      <x:c r="F66" s="58" t="str">
        <x:v>事前/事中</x:v>
      </x:c>
      <x:c r="G66" s="58" t="str">
        <x:v>高</x:v>
      </x:c>
      <x:c r="H66" s="58" t="str">
        <x:v>实际采购方式与已审批计划不同，且变更前未完成重新审批。</x:v>
      </x:c>
      <x:c r="I66" s="58" t="str">
        <x:v>方式不同且变更审批时间晚于实施时间</x:v>
      </x:c>
      <x:c r="J66" s="58" t="str">
        <x:v>采购计划、审批流程</x:v>
      </x:c>
      <x:c r="K66" s="58" t="str">
        <x:v>原方式、新方式、变更审批记录</x:v>
      </x:c>
      <x:c r="L66" s="58" t="str">
        <x:v>待建设</x:v>
      </x:c>
      <x:c r="M66" s="58" t="str"/>
      <x:c r="N66" s="58" t="str"/>
    </x:row>
    <x:row r="67" ht="15" hidden="0" customHeight="1">
      <x:c r="A67" s="58" t="n">
        <x:v>66</x:v>
      </x:c>
      <x:c r="B67" s="58" t="str">
        <x:v>CG01</x:v>
      </x:c>
      <x:c r="C67" s="58" t="str">
        <x:v>RULE-CG01-06</x:v>
      </x:c>
      <x:c r="D67" s="58" t="str">
        <x:v>集采目录项目场外采购</x:v>
      </x:c>
      <x:c r="E67" s="58" t="str">
        <x:v>字段比对</x:v>
      </x:c>
      <x:c r="F67" s="58" t="str">
        <x:v>事前</x:v>
      </x:c>
      <x:c r="G67" s="58" t="str">
        <x:v>重大</x:v>
      </x:c>
      <x:c r="H67" s="58" t="str">
        <x:v>标的属于强制集采或框架协议目录，但在目录外采购。</x:v>
      </x:c>
      <x:c r="I67" s="58" t="str">
        <x:v>目录命中且采购渠道不合规</x:v>
      </x:c>
      <x:c r="J67" s="58" t="str">
        <x:v>集采目录、框架协议、采购订单</x:v>
      </x:c>
      <x:c r="K67" s="58" t="str">
        <x:v>目录版本、标的映射、采购渠道</x:v>
      </x:c>
      <x:c r="L67" s="58" t="str">
        <x:v>待建设</x:v>
      </x:c>
      <x:c r="M67" s="58" t="str"/>
      <x:c r="N67" s="58" t="str"/>
    </x:row>
    <x:row r="68" ht="15" hidden="0" customHeight="1">
      <x:c r="A68" s="58" t="n">
        <x:v>67</x:v>
      </x:c>
      <x:c r="B68" s="58" t="str">
        <x:v>CG02</x:v>
      </x:c>
      <x:c r="C68" s="58" t="str">
        <x:v>RULE-CG02-01</x:v>
      </x:c>
      <x:c r="D68" s="58" t="str">
        <x:v>同需求同品类短期拆分采购</x:v>
      </x:c>
      <x:c r="E68" s="58" t="str">
        <x:v>聚合</x:v>
      </x:c>
      <x:c r="F68" s="58" t="str">
        <x:v>事前</x:v>
      </x:c>
      <x:c r="G68" s="58" t="str">
        <x:v>高</x:v>
      </x:c>
      <x:c r="H68" s="58" t="str">
        <x:v>同一需求、品类、供应商在30天内发生多笔小额采购且累计超过阈值。</x:v>
      </x:c>
      <x:c r="I68" s="58" t="str">
        <x:v>30天累计金额≥采购方式阈值且订单数≥2</x:v>
      </x:c>
      <x:c r="J68" s="58" t="str">
        <x:v>采购需求、订单、供应商主数据</x:v>
      </x:c>
      <x:c r="K68" s="58" t="str">
        <x:v>需求编号、订单明细、累计金额</x:v>
      </x:c>
      <x:c r="L68" s="58" t="str">
        <x:v>已实现</x:v>
      </x:c>
      <x:c r="M68" s="58" t="str">
        <x:v>RULE-DEMO-003</x:v>
      </x:c>
      <x:c r="N68" s="58" t="str"/>
    </x:row>
    <x:row r="69" ht="15" hidden="0" customHeight="1">
      <x:c r="A69" s="58" t="n">
        <x:v>68</x:v>
      </x:c>
      <x:c r="B69" s="58" t="str">
        <x:v>ZB01</x:v>
      </x:c>
      <x:c r="C69" s="58" t="str">
        <x:v>RULE-ZB01-01</x:v>
      </x:c>
      <x:c r="D69" s="58" t="str">
        <x:v>中标供应商提前参与项目</x:v>
      </x:c>
      <x:c r="E69" s="58" t="str">
        <x:v>时序/关系</x:v>
      </x:c>
      <x:c r="F69" s="58" t="str">
        <x:v>事前/事中</x:v>
      </x:c>
      <x:c r="G69" s="58" t="str">
        <x:v>重大</x:v>
      </x:c>
      <x:c r="H69" s="58" t="str">
        <x:v>招标前出现最终中标供应商进场、测试账号、工作记录或合同草稿。</x:v>
      </x:c>
      <x:c r="I69" s="58" t="str">
        <x:v>前置参与事件早于公告或投标截止时间</x:v>
      </x:c>
      <x:c r="J69" s="58" t="str">
        <x:v>项目系统、门禁、测试平台、合同系统</x:v>
      </x:c>
      <x:c r="K69" s="58" t="str">
        <x:v>前置事件、供应商、中标结果</x:v>
      </x:c>
      <x:c r="L69" s="58" t="str">
        <x:v>待建设</x:v>
      </x:c>
      <x:c r="M69" s="58" t="str"/>
      <x:c r="N69" s="58" t="str"/>
    </x:row>
    <x:row r="70" ht="15" hidden="0" customHeight="1">
      <x:c r="A70" s="58" t="n">
        <x:v>69</x:v>
      </x:c>
      <x:c r="B70" s="58" t="str">
        <x:v>ZB01</x:v>
      </x:c>
      <x:c r="C70" s="58" t="str">
        <x:v>RULE-ZB01-02</x:v>
      </x:c>
      <x:c r="D70" s="58" t="str">
        <x:v>招标参数疑似定向设置</x:v>
      </x:c>
      <x:c r="E70" s="58" t="str">
        <x:v>文本/匹配</x:v>
      </x:c>
      <x:c r="F70" s="58" t="str">
        <x:v>事前</x:v>
      </x:c>
      <x:c r="G70" s="58" t="str">
        <x:v>高</x:v>
      </x:c>
      <x:c r="H70" s="58" t="str">
        <x:v>关键技术参数仅一家供应商满足或指定品牌型号且不允许同等替代。</x:v>
      </x:c>
      <x:c r="I70" s="58" t="str">
        <x:v>唯一供应商匹配率≥80%或存在排他性表述</x:v>
      </x:c>
      <x:c r="J70" s="58" t="str">
        <x:v>招标文件、产品参数库</x:v>
      </x:c>
      <x:c r="K70" s="58" t="str">
        <x:v>参数匹配清单、排他性文本</x:v>
      </x:c>
      <x:c r="L70" s="58" t="str">
        <x:v>待建设</x:v>
      </x:c>
      <x:c r="M70" s="58" t="str"/>
      <x:c r="N70" s="58" t="str"/>
    </x:row>
    <x:row r="71" ht="15" hidden="0" customHeight="1">
      <x:c r="A71" s="58" t="n">
        <x:v>70</x:v>
      </x:c>
      <x:c r="B71" s="58" t="str">
        <x:v>B04</x:v>
      </x:c>
      <x:c r="C71" s="58" t="str">
        <x:v>RULE-B04-01</x:v>
      </x:c>
      <x:c r="D71" s="58" t="str">
        <x:v>关联供应商轮流中标</x:v>
      </x:c>
      <x:c r="E71" s="58" t="str">
        <x:v>图计算/聚合</x:v>
      </x:c>
      <x:c r="F71" s="58" t="str">
        <x:v>事后</x:v>
      </x:c>
      <x:c r="G71" s="58" t="str">
        <x:v>重大</x:v>
      </x:c>
      <x:c r="H71" s="58" t="str">
        <x:v>固定关联供应商群组在多个同类项目中轮流中标且报价排序稳定。</x:v>
      </x:c>
      <x:c r="I71" s="58" t="str">
        <x:v>12个月项目数≥3且轮换规律置信度≥阈值</x:v>
      </x:c>
      <x:c r="J71" s="58" t="str">
        <x:v>电子采购平台、工商关联图谱</x:v>
      </x:c>
      <x:c r="K71" s="58" t="str">
        <x:v>中标序列、报价排序、群组关系</x:v>
      </x:c>
      <x:c r="L71" s="58" t="str">
        <x:v>待建设</x:v>
      </x:c>
      <x:c r="M71" s="58" t="str"/>
      <x:c r="N71" s="58" t="str"/>
    </x:row>
    <x:row r="72" ht="15" hidden="0" customHeight="1">
      <x:c r="A72" s="58" t="n">
        <x:v>71</x:v>
      </x:c>
      <x:c r="B72" s="58" t="str">
        <x:v>B05</x:v>
      </x:c>
      <x:c r="C72" s="58" t="str">
        <x:v>RULE-B05-01</x:v>
      </x:c>
      <x:c r="D72" s="58" t="str">
        <x:v>投标保证金同源且报价呈规律排列</x:v>
      </x:c>
      <x:c r="E72" s="58" t="str">
        <x:v>聚合/关系</x:v>
      </x:c>
      <x:c r="F72" s="58" t="str">
        <x:v>事中</x:v>
      </x:c>
      <x:c r="G72" s="58" t="str">
        <x:v>重大</x:v>
      </x:c>
      <x:c r="H72" s="58" t="str">
        <x:v>多个投标保证金来自同一账户，同时报价呈等差或稳定梯度。</x:v>
      </x:c>
      <x:c r="I72" s="58" t="str">
        <x:v>保证金来源同一且报价规律置信度≥阈值</x:v>
      </x:c>
      <x:c r="J72" s="58" t="str">
        <x:v>保证金流水、投标报价</x:v>
      </x:c>
      <x:c r="K72" s="58" t="str">
        <x:v>付款账户、报价明细、排列分析</x:v>
      </x:c>
      <x:c r="L72" s="58" t="str">
        <x:v>已实现</x:v>
      </x:c>
      <x:c r="M72" s="58" t="str">
        <x:v>RULE-DEMO-007</x:v>
      </x:c>
      <x:c r="N72" s="58" t="str"/>
    </x:row>
    <x:row r="73" ht="15" hidden="0" customHeight="1">
      <x:c r="A73" s="58" t="n">
        <x:v>72</x:v>
      </x:c>
      <x:c r="B73" s="58" t="str">
        <x:v>LC01</x:v>
      </x:c>
      <x:c r="C73" s="58" t="str">
        <x:v>RULE-LC01-01</x:v>
      </x:c>
      <x:c r="D73" s="58" t="str">
        <x:v>招标公告早于预算批复</x:v>
      </x:c>
      <x:c r="E73" s="58" t="str">
        <x:v>时序</x:v>
      </x:c>
      <x:c r="F73" s="58" t="str">
        <x:v>事前</x:v>
      </x:c>
      <x:c r="G73" s="58" t="str">
        <x:v>高</x:v>
      </x:c>
      <x:c r="H73" s="58" t="str">
        <x:v>招标公告发布时间早于预算批复完成时间。</x:v>
      </x:c>
      <x:c r="I73" s="58" t="str">
        <x:v>公告时间&lt;预算批复时间</x:v>
      </x:c>
      <x:c r="J73" s="58" t="str">
        <x:v>预算系统、电子采购平台</x:v>
      </x:c>
      <x:c r="K73" s="58" t="str">
        <x:v>预算批复、公告时间戳</x:v>
      </x:c>
      <x:c r="L73" s="58" t="str">
        <x:v>已实现</x:v>
      </x:c>
      <x:c r="M73" s="58" t="str">
        <x:v>RULE-DEMO-008</x:v>
      </x:c>
      <x:c r="N73" s="58" t="str"/>
    </x:row>
    <x:row r="74" ht="15" hidden="0" customHeight="1">
      <x:c r="A74" s="58" t="n">
        <x:v>73</x:v>
      </x:c>
      <x:c r="B74" s="58" t="str">
        <x:v>LC01</x:v>
      </x:c>
      <x:c r="C74" s="58" t="str">
        <x:v>RULE-LC01-02</x:v>
      </x:c>
      <x:c r="D74" s="58" t="str">
        <x:v>采购关键事件缺失或倒置</x:v>
      </x:c>
      <x:c r="E74" s="58" t="str">
        <x:v>时序</x:v>
      </x:c>
      <x:c r="F74" s="58" t="str">
        <x:v>事前/事中</x:v>
      </x:c>
      <x:c r="G74" s="58" t="str">
        <x:v>高</x:v>
      </x:c>
      <x:c r="H74" s="58" t="str">
        <x:v>需求、计划、预算、方式审批、公告等关键事件缺失或顺序异常。</x:v>
      </x:c>
      <x:c r="I74" s="58" t="str">
        <x:v>必需事件缺失或不满足制度顺序</x:v>
      </x:c>
      <x:c r="J74" s="58" t="str">
        <x:v>采购流程事件总线</x:v>
      </x:c>
      <x:c r="K74" s="58" t="str">
        <x:v>事件时间轴、审批记录</x:v>
      </x:c>
      <x:c r="L74" s="58" t="str">
        <x:v>待建设</x:v>
      </x:c>
      <x:c r="M74" s="58" t="str"/>
      <x:c r="N74" s="58" t="str"/>
    </x:row>
    <x:row r="75" ht="15" hidden="0" customHeight="1">
      <x:c r="A75" s="58" t="n">
        <x:v>74</x:v>
      </x:c>
      <x:c r="B75" s="58" t="str">
        <x:v>LC01</x:v>
      </x:c>
      <x:c r="C75" s="58" t="str">
        <x:v>RULE-LC01-03</x:v>
      </x:c>
      <x:c r="D75" s="58" t="str">
        <x:v>招标文件未审批即发布</x:v>
      </x:c>
      <x:c r="E75" s="58" t="str">
        <x:v>时序</x:v>
      </x:c>
      <x:c r="F75" s="58" t="str">
        <x:v>事前</x:v>
      </x:c>
      <x:c r="G75" s="58" t="str">
        <x:v>高</x:v>
      </x:c>
      <x:c r="H75" s="58" t="str">
        <x:v>招标文件发布日期早于业务、法务或财务审批完成时间。</x:v>
      </x:c>
      <x:c r="I75" s="58" t="str">
        <x:v>发布时间&lt;必需审批完成时间</x:v>
      </x:c>
      <x:c r="J75" s="58" t="str">
        <x:v>电子采购、OA审批</x:v>
      </x:c>
      <x:c r="K75" s="58" t="str">
        <x:v>文件版本、审批记录、发布时间</x:v>
      </x:c>
      <x:c r="L75" s="58" t="str">
        <x:v>待建设</x:v>
      </x:c>
      <x:c r="M75" s="58" t="str"/>
      <x:c r="N75" s="58" t="str"/>
    </x:row>
    <x:row r="76" ht="15" hidden="0" customHeight="1">
      <x:c r="A76" s="58" t="n">
        <x:v>75</x:v>
      </x:c>
      <x:c r="B76" s="58" t="str">
        <x:v>LC01</x:v>
      </x:c>
      <x:c r="C76" s="58" t="str">
        <x:v>RULE-LC01-04</x:v>
      </x:c>
      <x:c r="D76" s="58" t="str">
        <x:v>中标公示期内提前签约</x:v>
      </x:c>
      <x:c r="E76" s="58" t="str">
        <x:v>时序</x:v>
      </x:c>
      <x:c r="F76" s="58" t="str">
        <x:v>事中/事后</x:v>
      </x:c>
      <x:c r="G76" s="58" t="str">
        <x:v>重大</x:v>
      </x:c>
      <x:c r="H76" s="58" t="str">
        <x:v>合同签订早于中标公示或异议处理结束时间。</x:v>
      </x:c>
      <x:c r="I76" s="58" t="str">
        <x:v>合同签订时间&lt;公示/异议结束时间</x:v>
      </x:c>
      <x:c r="J76" s="58" t="str">
        <x:v>电子采购、合同系统</x:v>
      </x:c>
      <x:c r="K76" s="58" t="str">
        <x:v>中标公示、异议记录、合同签署时间</x:v>
      </x:c>
      <x:c r="L76" s="58" t="str">
        <x:v>待建设</x:v>
      </x:c>
      <x:c r="M76" s="58" t="str"/>
      <x:c r="N76" s="58" t="str"/>
    </x:row>
    <x:row r="77" ht="15" hidden="0" customHeight="1">
      <x:c r="A77" s="58" t="n">
        <x:v>76</x:v>
      </x:c>
      <x:c r="B77" s="58" t="str">
        <x:v>LC02</x:v>
      </x:c>
      <x:c r="C77" s="58" t="str">
        <x:v>RULE-LC02-01</x:v>
      </x:c>
      <x:c r="D77" s="58" t="str">
        <x:v>公开招标投标期不足20天</x:v>
      </x:c>
      <x:c r="E77" s="58" t="str">
        <x:v>时序</x:v>
      </x:c>
      <x:c r="F77" s="58" t="str">
        <x:v>事中</x:v>
      </x:c>
      <x:c r="G77" s="58" t="str">
        <x:v>高</x:v>
      </x:c>
      <x:c r="H77" s="58" t="str">
        <x:v>公开招标公告至投标截止的有效时间不足20天。</x:v>
      </x:c>
      <x:c r="I77" s="58" t="str">
        <x:v>有效投标期&lt;20天</x:v>
      </x:c>
      <x:c r="J77" s="58" t="str">
        <x:v>电子采购平台</x:v>
      </x:c>
      <x:c r="K77" s="58" t="str">
        <x:v>公告时间、截止时间、节假日配置</x:v>
      </x:c>
      <x:c r="L77" s="58" t="str">
        <x:v>已实现</x:v>
      </x:c>
      <x:c r="M77" s="58" t="str">
        <x:v>RULE-DEMO-009</x:v>
      </x:c>
      <x:c r="N77" s="58" t="str"/>
    </x:row>
    <x:row r="78" ht="15" hidden="0" customHeight="1">
      <x:c r="A78" s="58" t="n">
        <x:v>77</x:v>
      </x:c>
      <x:c r="B78" s="58" t="str">
        <x:v>LC02</x:v>
      </x:c>
      <x:c r="C78" s="58" t="str">
        <x:v>RULE-LC02-02</x:v>
      </x:c>
      <x:c r="D78" s="58" t="str">
        <x:v>评审专家指定且无抽取记录</x:v>
      </x:c>
      <x:c r="E78" s="58" t="str">
        <x:v>属性/时序</x:v>
      </x:c>
      <x:c r="F78" s="58" t="str">
        <x:v>事中</x:v>
      </x:c>
      <x:c r="G78" s="58" t="str">
        <x:v>高</x:v>
      </x:c>
      <x:c r="H78" s="58" t="str">
        <x:v>专家产生方式为指定且未留存有效随机抽取记录。</x:v>
      </x:c>
      <x:c r="I78" s="58" t="str">
        <x:v>指定专家且抽取记录为空</x:v>
      </x:c>
      <x:c r="J78" s="58" t="str">
        <x:v>专家库、评审系统</x:v>
      </x:c>
      <x:c r="K78" s="58" t="str">
        <x:v>抽取批次、专家名单、操作日志</x:v>
      </x:c>
      <x:c r="L78" s="58" t="str">
        <x:v>已实现</x:v>
      </x:c>
      <x:c r="M78" s="58" t="str">
        <x:v>RULE-DEMO-010</x:v>
      </x:c>
      <x:c r="N78" s="58" t="str"/>
    </x:row>
    <x:row r="79" ht="15" hidden="0" customHeight="1">
      <x:c r="A79" s="58" t="n">
        <x:v>78</x:v>
      </x:c>
      <x:c r="B79" s="58" t="str">
        <x:v>LC02</x:v>
      </x:c>
      <x:c r="C79" s="58" t="str">
        <x:v>RULE-LC02-03</x:v>
      </x:c>
      <x:c r="D79" s="58" t="str">
        <x:v>重大变更未顺延投标期</x:v>
      </x:c>
      <x:c r="E79" s="58" t="str">
        <x:v>时序</x:v>
      </x:c>
      <x:c r="F79" s="58" t="str">
        <x:v>事中</x:v>
      </x:c>
      <x:c r="G79" s="58" t="str">
        <x:v>高</x:v>
      </x:c>
      <x:c r="H79" s="58" t="str">
        <x:v>资格、技术或价格等关键条件变更后未按制度顺延截止时间。</x:v>
      </x:c>
      <x:c r="I79" s="58" t="str">
        <x:v>重大变更且顺延天数&lt;制度要求</x:v>
      </x:c>
      <x:c r="J79" s="58" t="str">
        <x:v>电子采购平台</x:v>
      </x:c>
      <x:c r="K79" s="58" t="str">
        <x:v>澄清变更、原截止时间、新截止时间</x:v>
      </x:c>
      <x:c r="L79" s="58" t="str">
        <x:v>待建设</x:v>
      </x:c>
      <x:c r="M79" s="58" t="str"/>
      <x:c r="N79" s="58" t="str"/>
    </x:row>
    <x:row r="80" ht="15" hidden="0" customHeight="1">
      <x:c r="A80" s="58" t="n">
        <x:v>79</x:v>
      </x:c>
      <x:c r="B80" s="58" t="str">
        <x:v>LC02</x:v>
      </x:c>
      <x:c r="C80" s="58" t="str">
        <x:v>RULE-LC02-04</x:v>
      </x:c>
      <x:c r="D80" s="58" t="str">
        <x:v>评审委员会组成异常</x:v>
      </x:c>
      <x:c r="E80" s="58" t="str">
        <x:v>聚合/关系</x:v>
      </x:c>
      <x:c r="F80" s="58" t="str">
        <x:v>事中</x:v>
      </x:c>
      <x:c r="G80" s="58" t="str">
        <x:v>高</x:v>
      </x:c>
      <x:c r="H80" s="58" t="str">
        <x:v>专家人数、外部专家比例、回避关系或签字完整性不符合制度。</x:v>
      </x:c>
      <x:c r="I80" s="58" t="str">
        <x:v>任一组成或回避约束不满足</x:v>
      </x:c>
      <x:c r="J80" s="58" t="str">
        <x:v>专家库、评审系统、工商关联图谱</x:v>
      </x:c>
      <x:c r="K80" s="58" t="str">
        <x:v>委员会名单、回避关系、签字记录</x:v>
      </x:c>
      <x:c r="L80" s="58" t="str">
        <x:v>待建设</x:v>
      </x:c>
      <x:c r="M80" s="58" t="str"/>
      <x:c r="N80" s="58" t="str"/>
    </x:row>
    <x:row r="81" ht="15" hidden="0" customHeight="1">
      <x:c r="A81" s="58" t="n">
        <x:v>80</x:v>
      </x:c>
      <x:c r="B81" s="58" t="str">
        <x:v>608</x:v>
      </x:c>
      <x:c r="C81" s="58" t="str">
        <x:v>RULE-608-01</x:v>
      </x:c>
      <x:c r="D81" s="58" t="str">
        <x:v>付款后资金流向采购方关联主体</x:v>
      </x:c>
      <x:c r="E81" s="58" t="str">
        <x:v>关系路径/时序</x:v>
      </x:c>
      <x:c r="F81" s="58" t="str">
        <x:v>事后</x:v>
      </x:c>
      <x:c r="G81" s="58" t="str">
        <x:v>重大</x:v>
      </x:c>
      <x:c r="H81" s="58" t="str">
        <x:v>付款后3天内80%以上资金流向采购方关联企业或关联账户。</x:v>
      </x:c>
      <x:c r="I81" s="58" t="str">
        <x:v>3天内关联流出比例≥80%</x:v>
      </x:c>
      <x:c r="J81" s="58" t="str">
        <x:v>银企直联、工商关联图谱</x:v>
      </x:c>
      <x:c r="K81" s="58" t="str">
        <x:v>付款流水、后续转账、关联路径</x:v>
      </x:c>
      <x:c r="L81" s="58" t="str">
        <x:v>已实现</x:v>
      </x:c>
      <x:c r="M81" s="58" t="str">
        <x:v>RULE-DEMO-012</x:v>
      </x:c>
      <x:c r="N81" s="58" t="str"/>
    </x:row>
    <x:row r="82" ht="15" hidden="0" customHeight="1">
      <x:c r="A82" s="58" t="n">
        <x:v>81</x:v>
      </x:c>
      <x:c r="B82" s="58" t="str">
        <x:v>HT01</x:v>
      </x:c>
      <x:c r="C82" s="58" t="str">
        <x:v>RULE-HT01-01</x:v>
      </x:c>
      <x:c r="D82" s="58" t="str">
        <x:v>中标后90天内合同增幅超过20%</x:v>
      </x:c>
      <x:c r="E82" s="58" t="str">
        <x:v>聚合/时序</x:v>
      </x:c>
      <x:c r="F82" s="58" t="str">
        <x:v>事中/事后</x:v>
      </x:c>
      <x:c r="G82" s="58" t="str">
        <x:v>高</x:v>
      </x:c>
      <x:c r="H82" s="58" t="str">
        <x:v>中标后90天内合同累计变更金额超过原合同20%。</x:v>
      </x:c>
      <x:c r="I82" s="58" t="str">
        <x:v>90天内累计变更比例&gt;20%</x:v>
      </x:c>
      <x:c r="J82" s="58" t="str">
        <x:v>合同系统、采购结果</x:v>
      </x:c>
      <x:c r="K82" s="58" t="str">
        <x:v>原合同、中标结果、变更记录</x:v>
      </x:c>
      <x:c r="L82" s="58" t="str">
        <x:v>已实现</x:v>
      </x:c>
      <x:c r="M82" s="58" t="str">
        <x:v>RULE-DEMO-013</x:v>
      </x:c>
      <x:c r="N82" s="58" t="str"/>
    </x:row>
    <x:row r="83" ht="15" hidden="0" customHeight="1">
      <x:c r="A83" s="58" t="n">
        <x:v>82</x:v>
      </x:c>
      <x:c r="B83" s="58" t="str">
        <x:v>HT02</x:v>
      </x:c>
      <x:c r="C83" s="58" t="str">
        <x:v>RULE-HT02-01</x:v>
      </x:c>
      <x:c r="D83" s="58" t="str">
        <x:v>验收前累计付款超过合同80%</x:v>
      </x:c>
      <x:c r="E83" s="58" t="str">
        <x:v>时序/聚合</x:v>
      </x:c>
      <x:c r="F83" s="58" t="str">
        <x:v>事中/事后</x:v>
      </x:c>
      <x:c r="G83" s="58" t="str">
        <x:v>高</x:v>
      </x:c>
      <x:c r="H83" s="58" t="str">
        <x:v>验收通过前累计付款超过合同金额80%。</x:v>
      </x:c>
      <x:c r="I83" s="58" t="str">
        <x:v>未验收且累计付款比例&gt;80%</x:v>
      </x:c>
      <x:c r="J83" s="58" t="str">
        <x:v>合同、验收、财务付款</x:v>
      </x:c>
      <x:c r="K83" s="58" t="str">
        <x:v>合同金额、付款累计、验收状态</x:v>
      </x:c>
      <x:c r="L83" s="58" t="str">
        <x:v>已实现</x:v>
      </x:c>
      <x:c r="M83" s="58" t="str">
        <x:v>RULE-DEMO-014</x:v>
      </x:c>
      <x:c r="N83" s="58" t="str"/>
    </x:row>
  </x:sheetData>
  <x:conditionalFormatting sqref="L2:L83">
    <x:cfRule type="containsText" dxfId="4" priority="1" operator="containsText" text="已实现"/>
    <x:cfRule type="containsText" dxfId="5" priority="2" operator="containsText" text="部分实现"/>
    <x:cfRule type="containsText" dxfId="6" priority="3" operator="containsText" text="待接外部数据"/>
    <x:cfRule type="containsText" dxfId="7" priority="4" operator="containsText" text="待建设"/>
  </x:conditionalFormatting>
  <x:pageMargins left="0.7" right="0.7" top="0.75" bottom="0.75" header="0.3" footer="0.3"/>
  <x:tableParts count="1">
    <x:tablePart xmlns:r="http://schemas.openxmlformats.org/officeDocument/2006/relationships" r:id="R4baf386933a34d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6" hidden="0" customWidth="1"/>
  </x:cols>
  <x:sheetData>
    <x:row r="1" ht="15" hidden="0" customHeight="1">
      <x:c r="A1" s="13" t="str">
        <x:v>序号</x:v>
      </x:c>
      <x:c r="B1" s="29" t="str">
        <x:v>模式编号</x:v>
      </x:c>
      <x:c r="C1" s="29" t="str">
        <x:v>原子规则编号</x:v>
      </x:c>
      <x:c r="D1" s="14" t="str">
        <x:v>绑定类型</x:v>
      </x:c>
    </x:row>
    <x:row r="2" ht="15" hidden="0" customHeight="1">
      <x:c r="A2" s="53" t="n">
        <x:v>1</x:v>
      </x:c>
      <x:c r="B2" s="53" t="str">
        <x:v>101</x:v>
      </x:c>
      <x:c r="C2" s="53" t="str">
        <x:v>RULE-101-01</x:v>
      </x:c>
      <x:c r="D2" s="53" t="str">
        <x:v>主绑定</x:v>
      </x:c>
    </x:row>
    <x:row r="3" ht="15" hidden="0" customHeight="1">
      <x:c r="A3" s="54" t="n">
        <x:v>2</x:v>
      </x:c>
      <x:c r="B3" s="54" t="str">
        <x:v>103</x:v>
      </x:c>
      <x:c r="C3" s="54" t="str">
        <x:v>RULE-103-01</x:v>
      </x:c>
      <x:c r="D3" s="54" t="str">
        <x:v>主绑定</x:v>
      </x:c>
    </x:row>
    <x:row r="4" ht="15" hidden="0" customHeight="1">
      <x:c r="A4" s="54" t="n">
        <x:v>3</x:v>
      </x:c>
      <x:c r="B4" s="54" t="str">
        <x:v>104</x:v>
      </x:c>
      <x:c r="C4" s="54" t="str">
        <x:v>RULE-104-01</x:v>
      </x:c>
      <x:c r="D4" s="54" t="str">
        <x:v>主绑定</x:v>
      </x:c>
    </x:row>
    <x:row r="5" ht="15" hidden="0" customHeight="1">
      <x:c r="A5" s="54" t="n">
        <x:v>4</x:v>
      </x:c>
      <x:c r="B5" s="54" t="str">
        <x:v>105</x:v>
      </x:c>
      <x:c r="C5" s="54" t="str">
        <x:v>RULE-105-01</x:v>
      </x:c>
      <x:c r="D5" s="54" t="str">
        <x:v>主绑定</x:v>
      </x:c>
    </x:row>
    <x:row r="6" ht="15" hidden="0" customHeight="1">
      <x:c r="A6" s="54" t="n">
        <x:v>5</x:v>
      </x:c>
      <x:c r="B6" s="54" t="str">
        <x:v>106</x:v>
      </x:c>
      <x:c r="C6" s="54" t="str">
        <x:v>RULE-106-01</x:v>
      </x:c>
      <x:c r="D6" s="54" t="str">
        <x:v>主绑定</x:v>
      </x:c>
    </x:row>
    <x:row r="7" ht="15" hidden="0" customHeight="1">
      <x:c r="A7" s="54" t="n">
        <x:v>6</x:v>
      </x:c>
      <x:c r="B7" s="54" t="str">
        <x:v>107</x:v>
      </x:c>
      <x:c r="C7" s="54" t="str">
        <x:v>RULE-107-01</x:v>
      </x:c>
      <x:c r="D7" s="54" t="str">
        <x:v>主绑定</x:v>
      </x:c>
    </x:row>
    <x:row r="8" ht="15" hidden="0" customHeight="1">
      <x:c r="A8" s="54" t="n">
        <x:v>7</x:v>
      </x:c>
      <x:c r="B8" s="54" t="str">
        <x:v>201</x:v>
      </x:c>
      <x:c r="C8" s="54" t="str">
        <x:v>RULE-201-01</x:v>
      </x:c>
      <x:c r="D8" s="54" t="str">
        <x:v>主绑定</x:v>
      </x:c>
    </x:row>
    <x:row r="9" ht="15" hidden="0" customHeight="1">
      <x:c r="A9" s="54" t="n">
        <x:v>8</x:v>
      </x:c>
      <x:c r="B9" s="54" t="str">
        <x:v>202</x:v>
      </x:c>
      <x:c r="C9" s="54" t="str">
        <x:v>RULE-202-01</x:v>
      </x:c>
      <x:c r="D9" s="54" t="str">
        <x:v>主绑定</x:v>
      </x:c>
    </x:row>
    <x:row r="10" ht="15" hidden="0" customHeight="1">
      <x:c r="A10" s="54" t="n">
        <x:v>9</x:v>
      </x:c>
      <x:c r="B10" s="54" t="str">
        <x:v>203</x:v>
      </x:c>
      <x:c r="C10" s="54" t="str">
        <x:v>RULE-203-01</x:v>
      </x:c>
      <x:c r="D10" s="54" t="str">
        <x:v>主绑定</x:v>
      </x:c>
    </x:row>
    <x:row r="11" ht="15" hidden="0" customHeight="1">
      <x:c r="A11" s="54" t="n">
        <x:v>10</x:v>
      </x:c>
      <x:c r="B11" s="54" t="str">
        <x:v>204</x:v>
      </x:c>
      <x:c r="C11" s="54" t="str">
        <x:v>RULE-204-01</x:v>
      </x:c>
      <x:c r="D11" s="54" t="str">
        <x:v>主绑定</x:v>
      </x:c>
    </x:row>
    <x:row r="12" ht="15" hidden="0" customHeight="1">
      <x:c r="A12" s="54" t="n">
        <x:v>11</x:v>
      </x:c>
      <x:c r="B12" s="54" t="str">
        <x:v>301</x:v>
      </x:c>
      <x:c r="C12" s="54" t="str">
        <x:v>RULE-301-01</x:v>
      </x:c>
      <x:c r="D12" s="54" t="str">
        <x:v>主绑定</x:v>
      </x:c>
    </x:row>
    <x:row r="13" ht="15" hidden="0" customHeight="1">
      <x:c r="A13" s="54" t="n">
        <x:v>12</x:v>
      </x:c>
      <x:c r="B13" s="54" t="str">
        <x:v>302</x:v>
      </x:c>
      <x:c r="C13" s="54" t="str">
        <x:v>RULE-302-01</x:v>
      </x:c>
      <x:c r="D13" s="54" t="str">
        <x:v>主绑定</x:v>
      </x:c>
    </x:row>
    <x:row r="14" ht="15" hidden="0" customHeight="1">
      <x:c r="A14" s="54" t="n">
        <x:v>13</x:v>
      </x:c>
      <x:c r="B14" s="54" t="str">
        <x:v>303</x:v>
      </x:c>
      <x:c r="C14" s="54" t="str">
        <x:v>RULE-303-01</x:v>
      </x:c>
      <x:c r="D14" s="54" t="str">
        <x:v>主绑定</x:v>
      </x:c>
    </x:row>
    <x:row r="15" ht="15" hidden="0" customHeight="1">
      <x:c r="A15" s="54" t="n">
        <x:v>14</x:v>
      </x:c>
      <x:c r="B15" s="54" t="str">
        <x:v>304</x:v>
      </x:c>
      <x:c r="C15" s="54" t="str">
        <x:v>RULE-304-01</x:v>
      </x:c>
      <x:c r="D15" s="54" t="str">
        <x:v>主绑定</x:v>
      </x:c>
    </x:row>
    <x:row r="16" ht="15" hidden="0" customHeight="1">
      <x:c r="A16" s="54" t="n">
        <x:v>15</x:v>
      </x:c>
      <x:c r="B16" s="54" t="str">
        <x:v>305</x:v>
      </x:c>
      <x:c r="C16" s="54" t="str">
        <x:v>RULE-305-01</x:v>
      </x:c>
      <x:c r="D16" s="54" t="str">
        <x:v>主绑定</x:v>
      </x:c>
    </x:row>
    <x:row r="17" ht="15" hidden="0" customHeight="1">
      <x:c r="A17" s="54" t="n">
        <x:v>16</x:v>
      </x:c>
      <x:c r="B17" s="54" t="str">
        <x:v>306</x:v>
      </x:c>
      <x:c r="C17" s="54" t="str">
        <x:v>RULE-306-01</x:v>
      </x:c>
      <x:c r="D17" s="54" t="str">
        <x:v>主绑定</x:v>
      </x:c>
    </x:row>
    <x:row r="18" ht="15" hidden="0" customHeight="1">
      <x:c r="A18" s="54" t="n">
        <x:v>17</x:v>
      </x:c>
      <x:c r="B18" s="54" t="str">
        <x:v>307</x:v>
      </x:c>
      <x:c r="C18" s="54" t="str">
        <x:v>RULE-307-01</x:v>
      </x:c>
      <x:c r="D18" s="54" t="str">
        <x:v>主绑定</x:v>
      </x:c>
    </x:row>
    <x:row r="19" ht="15" hidden="0" customHeight="1">
      <x:c r="A19" s="54" t="n">
        <x:v>18</x:v>
      </x:c>
      <x:c r="B19" s="54" t="str">
        <x:v>308</x:v>
      </x:c>
      <x:c r="C19" s="54" t="str">
        <x:v>RULE-308-01</x:v>
      </x:c>
      <x:c r="D19" s="54" t="str">
        <x:v>主绑定</x:v>
      </x:c>
    </x:row>
    <x:row r="20" ht="15" hidden="0" customHeight="1">
      <x:c r="A20" s="54" t="n">
        <x:v>19</x:v>
      </x:c>
      <x:c r="B20" s="54" t="str">
        <x:v>309</x:v>
      </x:c>
      <x:c r="C20" s="54" t="str">
        <x:v>RULE-309-01</x:v>
      </x:c>
      <x:c r="D20" s="54" t="str">
        <x:v>主绑定</x:v>
      </x:c>
    </x:row>
    <x:row r="21" ht="15" hidden="0" customHeight="1">
      <x:c r="A21" s="54" t="n">
        <x:v>20</x:v>
      </x:c>
      <x:c r="B21" s="54" t="str">
        <x:v>310</x:v>
      </x:c>
      <x:c r="C21" s="54" t="str">
        <x:v>RULE-310-01</x:v>
      </x:c>
      <x:c r="D21" s="54" t="str">
        <x:v>主绑定</x:v>
      </x:c>
    </x:row>
    <x:row r="22" ht="15" hidden="0" customHeight="1">
      <x:c r="A22" s="54" t="n">
        <x:v>21</x:v>
      </x:c>
      <x:c r="B22" s="54" t="str">
        <x:v>311</x:v>
      </x:c>
      <x:c r="C22" s="54" t="str">
        <x:v>RULE-311-01</x:v>
      </x:c>
      <x:c r="D22" s="54" t="str">
        <x:v>主绑定</x:v>
      </x:c>
    </x:row>
    <x:row r="23" ht="15" hidden="0" customHeight="1">
      <x:c r="A23" s="54" t="n">
        <x:v>22</x:v>
      </x:c>
      <x:c r="B23" s="54" t="str">
        <x:v>312</x:v>
      </x:c>
      <x:c r="C23" s="54" t="str">
        <x:v>RULE-312-01</x:v>
      </x:c>
      <x:c r="D23" s="54" t="str">
        <x:v>主绑定</x:v>
      </x:c>
    </x:row>
    <x:row r="24" ht="15" hidden="0" customHeight="1">
      <x:c r="A24" s="54" t="n">
        <x:v>23</x:v>
      </x:c>
      <x:c r="B24" s="54" t="str">
        <x:v>401</x:v>
      </x:c>
      <x:c r="C24" s="54" t="str">
        <x:v>RULE-401-01</x:v>
      </x:c>
      <x:c r="D24" s="54" t="str">
        <x:v>主绑定</x:v>
      </x:c>
    </x:row>
    <x:row r="25" ht="15" hidden="0" customHeight="1">
      <x:c r="A25" s="54" t="n">
        <x:v>24</x:v>
      </x:c>
      <x:c r="B25" s="54" t="str">
        <x:v>402</x:v>
      </x:c>
      <x:c r="C25" s="54" t="str">
        <x:v>RULE-402-01</x:v>
      </x:c>
      <x:c r="D25" s="54" t="str">
        <x:v>主绑定</x:v>
      </x:c>
    </x:row>
    <x:row r="26" ht="15" hidden="0" customHeight="1">
      <x:c r="A26" s="54" t="n">
        <x:v>25</x:v>
      </x:c>
      <x:c r="B26" s="54" t="str">
        <x:v>403</x:v>
      </x:c>
      <x:c r="C26" s="54" t="str">
        <x:v>RULE-403-01</x:v>
      </x:c>
      <x:c r="D26" s="54" t="str">
        <x:v>主绑定</x:v>
      </x:c>
    </x:row>
    <x:row r="27" ht="15" hidden="0" customHeight="1">
      <x:c r="A27" s="54" t="n">
        <x:v>26</x:v>
      </x:c>
      <x:c r="B27" s="54" t="str">
        <x:v>404</x:v>
      </x:c>
      <x:c r="C27" s="54" t="str">
        <x:v>RULE-404-01</x:v>
      </x:c>
      <x:c r="D27" s="54" t="str">
        <x:v>主绑定</x:v>
      </x:c>
    </x:row>
    <x:row r="28" ht="15" hidden="0" customHeight="1">
      <x:c r="A28" s="54" t="n">
        <x:v>27</x:v>
      </x:c>
      <x:c r="B28" s="54" t="str">
        <x:v>405</x:v>
      </x:c>
      <x:c r="C28" s="54" t="str">
        <x:v>RULE-405-01</x:v>
      </x:c>
      <x:c r="D28" s="54" t="str">
        <x:v>主绑定</x:v>
      </x:c>
    </x:row>
    <x:row r="29" ht="15" hidden="0" customHeight="1">
      <x:c r="A29" s="54" t="n">
        <x:v>28</x:v>
      </x:c>
      <x:c r="B29" s="54" t="str">
        <x:v>501</x:v>
      </x:c>
      <x:c r="C29" s="54" t="str">
        <x:v>RULE-501-01</x:v>
      </x:c>
      <x:c r="D29" s="54" t="str">
        <x:v>主绑定</x:v>
      </x:c>
    </x:row>
    <x:row r="30" ht="15" hidden="0" customHeight="1">
      <x:c r="A30" s="54" t="n">
        <x:v>29</x:v>
      </x:c>
      <x:c r="B30" s="54" t="str">
        <x:v>502</x:v>
      </x:c>
      <x:c r="C30" s="54" t="str">
        <x:v>RULE-502-01</x:v>
      </x:c>
      <x:c r="D30" s="54" t="str">
        <x:v>主绑定</x:v>
      </x:c>
    </x:row>
    <x:row r="31" ht="15" hidden="0" customHeight="1">
      <x:c r="A31" s="54" t="n">
        <x:v>30</x:v>
      </x:c>
      <x:c r="B31" s="54" t="str">
        <x:v>503</x:v>
      </x:c>
      <x:c r="C31" s="54" t="str">
        <x:v>RULE-503-01</x:v>
      </x:c>
      <x:c r="D31" s="54" t="str">
        <x:v>主绑定</x:v>
      </x:c>
    </x:row>
    <x:row r="32" ht="15" hidden="0" customHeight="1">
      <x:c r="A32" s="54" t="n">
        <x:v>31</x:v>
      </x:c>
      <x:c r="B32" s="54" t="str">
        <x:v>601</x:v>
      </x:c>
      <x:c r="C32" s="54" t="str">
        <x:v>RULE-601-01</x:v>
      </x:c>
      <x:c r="D32" s="54" t="str">
        <x:v>主绑定</x:v>
      </x:c>
    </x:row>
    <x:row r="33" ht="15" hidden="0" customHeight="1">
      <x:c r="A33" s="54" t="n">
        <x:v>32</x:v>
      </x:c>
      <x:c r="B33" s="54" t="str">
        <x:v>602</x:v>
      </x:c>
      <x:c r="C33" s="54" t="str">
        <x:v>RULE-602-01</x:v>
      </x:c>
      <x:c r="D33" s="54" t="str">
        <x:v>主绑定</x:v>
      </x:c>
    </x:row>
    <x:row r="34" ht="15" hidden="0" customHeight="1">
      <x:c r="A34" s="54" t="n">
        <x:v>33</x:v>
      </x:c>
      <x:c r="B34" s="54" t="str">
        <x:v>603</x:v>
      </x:c>
      <x:c r="C34" s="54" t="str">
        <x:v>RULE-603-01</x:v>
      </x:c>
      <x:c r="D34" s="54" t="str">
        <x:v>主绑定</x:v>
      </x:c>
    </x:row>
    <x:row r="35" ht="15" hidden="0" customHeight="1">
      <x:c r="A35" s="54" t="n">
        <x:v>34</x:v>
      </x:c>
      <x:c r="B35" s="54" t="str">
        <x:v>604</x:v>
      </x:c>
      <x:c r="C35" s="54" t="str">
        <x:v>RULE-604-01</x:v>
      </x:c>
      <x:c r="D35" s="54" t="str">
        <x:v>主绑定</x:v>
      </x:c>
    </x:row>
    <x:row r="36" ht="15" hidden="0" customHeight="1">
      <x:c r="A36" s="54" t="n">
        <x:v>35</x:v>
      </x:c>
      <x:c r="B36" s="54" t="str">
        <x:v>605</x:v>
      </x:c>
      <x:c r="C36" s="54" t="str">
        <x:v>RULE-605-01</x:v>
      </x:c>
      <x:c r="D36" s="54" t="str">
        <x:v>主绑定</x:v>
      </x:c>
    </x:row>
    <x:row r="37" ht="15" hidden="0" customHeight="1">
      <x:c r="A37" s="54" t="n">
        <x:v>36</x:v>
      </x:c>
      <x:c r="B37" s="54" t="str">
        <x:v>606</x:v>
      </x:c>
      <x:c r="C37" s="54" t="str">
        <x:v>RULE-606-01</x:v>
      </x:c>
      <x:c r="D37" s="54" t="str">
        <x:v>主绑定</x:v>
      </x:c>
    </x:row>
    <x:row r="38" ht="15" hidden="0" customHeight="1">
      <x:c r="A38" s="54" t="n">
        <x:v>37</x:v>
      </x:c>
      <x:c r="B38" s="54" t="str">
        <x:v>607</x:v>
      </x:c>
      <x:c r="C38" s="54" t="str">
        <x:v>RULE-607-01</x:v>
      </x:c>
      <x:c r="D38" s="54" t="str">
        <x:v>主绑定</x:v>
      </x:c>
    </x:row>
    <x:row r="39" ht="15" hidden="0" customHeight="1">
      <x:c r="A39" s="54" t="n">
        <x:v>38</x:v>
      </x:c>
      <x:c r="B39" s="54" t="str">
        <x:v>701</x:v>
      </x:c>
      <x:c r="C39" s="54" t="str">
        <x:v>RULE-701-01</x:v>
      </x:c>
      <x:c r="D39" s="54" t="str">
        <x:v>主绑定</x:v>
      </x:c>
    </x:row>
    <x:row r="40" ht="15" hidden="0" customHeight="1">
      <x:c r="A40" s="54" t="n">
        <x:v>39</x:v>
      </x:c>
      <x:c r="B40" s="54" t="str">
        <x:v>702</x:v>
      </x:c>
      <x:c r="C40" s="54" t="str">
        <x:v>RULE-702-01</x:v>
      </x:c>
      <x:c r="D40" s="54" t="str">
        <x:v>主绑定</x:v>
      </x:c>
    </x:row>
    <x:row r="41" ht="15" hidden="0" customHeight="1">
      <x:c r="A41" s="54" t="n">
        <x:v>40</x:v>
      </x:c>
      <x:c r="B41" s="54" t="str">
        <x:v>703</x:v>
      </x:c>
      <x:c r="C41" s="54" t="str">
        <x:v>RULE-703-01</x:v>
      </x:c>
      <x:c r="D41" s="54" t="str">
        <x:v>主绑定</x:v>
      </x:c>
    </x:row>
    <x:row r="42" ht="15" hidden="0" customHeight="1">
      <x:c r="A42" s="54" t="n">
        <x:v>41</x:v>
      </x:c>
      <x:c r="B42" s="54" t="str">
        <x:v>801</x:v>
      </x:c>
      <x:c r="C42" s="54" t="str">
        <x:v>RULE-801-01</x:v>
      </x:c>
      <x:c r="D42" s="54" t="str">
        <x:v>主绑定</x:v>
      </x:c>
    </x:row>
    <x:row r="43" ht="15" hidden="0" customHeight="1">
      <x:c r="A43" s="54" t="n">
        <x:v>42</x:v>
      </x:c>
      <x:c r="B43" s="54" t="str">
        <x:v>802</x:v>
      </x:c>
      <x:c r="C43" s="54" t="str">
        <x:v>RULE-802-01</x:v>
      </x:c>
      <x:c r="D43" s="54" t="str">
        <x:v>主绑定</x:v>
      </x:c>
    </x:row>
    <x:row r="44" ht="15" hidden="0" customHeight="1">
      <x:c r="A44" s="54" t="n">
        <x:v>43</x:v>
      </x:c>
      <x:c r="B44" s="54" t="str">
        <x:v>803</x:v>
      </x:c>
      <x:c r="C44" s="54" t="str">
        <x:v>RULE-803-01</x:v>
      </x:c>
      <x:c r="D44" s="54" t="str">
        <x:v>主绑定</x:v>
      </x:c>
    </x:row>
    <x:row r="45" ht="15" hidden="0" customHeight="1">
      <x:c r="A45" s="54" t="n">
        <x:v>44</x:v>
      </x:c>
      <x:c r="B45" s="54" t="str">
        <x:v>804</x:v>
      </x:c>
      <x:c r="C45" s="54" t="str">
        <x:v>RULE-804-01</x:v>
      </x:c>
      <x:c r="D45" s="54" t="str">
        <x:v>主绑定</x:v>
      </x:c>
    </x:row>
    <x:row r="46" ht="15" hidden="0" customHeight="1">
      <x:c r="A46" s="54" t="n">
        <x:v>45</x:v>
      </x:c>
      <x:c r="B46" s="54" t="str">
        <x:v>805</x:v>
      </x:c>
      <x:c r="C46" s="54" t="str">
        <x:v>RULE-805-01</x:v>
      </x:c>
      <x:c r="D46" s="54" t="str">
        <x:v>主绑定</x:v>
      </x:c>
    </x:row>
    <x:row r="47" ht="15" hidden="0" customHeight="1">
      <x:c r="A47" s="54" t="n">
        <x:v>46</x:v>
      </x:c>
      <x:c r="B47" s="54" t="str">
        <x:v>A01</x:v>
      </x:c>
      <x:c r="C47" s="54" t="str">
        <x:v>RULE-A01-01</x:v>
      </x:c>
      <x:c r="D47" s="54" t="str">
        <x:v>主绑定</x:v>
      </x:c>
    </x:row>
    <x:row r="48" ht="15" hidden="0" customHeight="1">
      <x:c r="A48" s="54" t="n">
        <x:v>47</x:v>
      </x:c>
      <x:c r="B48" s="54" t="str">
        <x:v>A02</x:v>
      </x:c>
      <x:c r="C48" s="54" t="str">
        <x:v>RULE-A02-01</x:v>
      </x:c>
      <x:c r="D48" s="54" t="str">
        <x:v>主绑定</x:v>
      </x:c>
    </x:row>
    <x:row r="49" ht="15" hidden="0" customHeight="1">
      <x:c r="A49" s="54" t="n">
        <x:v>48</x:v>
      </x:c>
      <x:c r="B49" s="54" t="str">
        <x:v>B01</x:v>
      </x:c>
      <x:c r="C49" s="54" t="str">
        <x:v>RULE-B01-01</x:v>
      </x:c>
      <x:c r="D49" s="54" t="str">
        <x:v>主绑定</x:v>
      </x:c>
    </x:row>
    <x:row r="50" ht="15" hidden="0" customHeight="1">
      <x:c r="A50" s="54" t="n">
        <x:v>49</x:v>
      </x:c>
      <x:c r="B50" s="54" t="str">
        <x:v>B01</x:v>
      </x:c>
      <x:c r="C50" s="54" t="str">
        <x:v>RULE-B01-02</x:v>
      </x:c>
      <x:c r="D50" s="54" t="str">
        <x:v>主绑定</x:v>
      </x:c>
    </x:row>
    <x:row r="51" ht="15" hidden="0" customHeight="1">
      <x:c r="A51" s="54" t="n">
        <x:v>50</x:v>
      </x:c>
      <x:c r="B51" s="54" t="str">
        <x:v>B01</x:v>
      </x:c>
      <x:c r="C51" s="54" t="str">
        <x:v>RULE-B01-03</x:v>
      </x:c>
      <x:c r="D51" s="54" t="str">
        <x:v>主绑定</x:v>
      </x:c>
    </x:row>
    <x:row r="52" ht="15" hidden="0" customHeight="1">
      <x:c r="A52" s="54" t="n">
        <x:v>51</x:v>
      </x:c>
      <x:c r="B52" s="54" t="str">
        <x:v>B02</x:v>
      </x:c>
      <x:c r="C52" s="54" t="str">
        <x:v>RULE-B02-01</x:v>
      </x:c>
      <x:c r="D52" s="54" t="str">
        <x:v>主绑定</x:v>
      </x:c>
    </x:row>
    <x:row r="53" ht="15" hidden="0" customHeight="1">
      <x:c r="A53" s="54" t="n">
        <x:v>52</x:v>
      </x:c>
      <x:c r="B53" s="54" t="str">
        <x:v>102</x:v>
      </x:c>
      <x:c r="C53" s="54" t="str">
        <x:v>RULE-B02-01</x:v>
      </x:c>
      <x:c r="D53" s="54" t="str">
        <x:v>共享绑定</x:v>
      </x:c>
    </x:row>
    <x:row r="54" ht="15" hidden="0" customHeight="1">
      <x:c r="A54" s="54" t="n">
        <x:v>53</x:v>
      </x:c>
      <x:c r="B54" s="54" t="str">
        <x:v>B02</x:v>
      </x:c>
      <x:c r="C54" s="54" t="str">
        <x:v>RULE-B02-02</x:v>
      </x:c>
      <x:c r="D54" s="54" t="str">
        <x:v>主绑定</x:v>
      </x:c>
    </x:row>
    <x:row r="55" ht="15" hidden="0" customHeight="1">
      <x:c r="A55" s="54" t="n">
        <x:v>54</x:v>
      </x:c>
      <x:c r="B55" s="54" t="str">
        <x:v>102</x:v>
      </x:c>
      <x:c r="C55" s="54" t="str">
        <x:v>RULE-B02-02</x:v>
      </x:c>
      <x:c r="D55" s="54" t="str">
        <x:v>共享绑定</x:v>
      </x:c>
    </x:row>
    <x:row r="56" ht="15" hidden="0" customHeight="1">
      <x:c r="A56" s="54" t="n">
        <x:v>55</x:v>
      </x:c>
      <x:c r="B56" s="54" t="str">
        <x:v>B02</x:v>
      </x:c>
      <x:c r="C56" s="54" t="str">
        <x:v>RULE-B02-03</x:v>
      </x:c>
      <x:c r="D56" s="54" t="str">
        <x:v>主绑定</x:v>
      </x:c>
    </x:row>
    <x:row r="57" ht="15" hidden="0" customHeight="1">
      <x:c r="A57" s="54" t="n">
        <x:v>56</x:v>
      </x:c>
      <x:c r="B57" s="54" t="str">
        <x:v>B02</x:v>
      </x:c>
      <x:c r="C57" s="54" t="str">
        <x:v>RULE-B02-04</x:v>
      </x:c>
      <x:c r="D57" s="54" t="str">
        <x:v>主绑定</x:v>
      </x:c>
    </x:row>
    <x:row r="58" ht="15" hidden="0" customHeight="1">
      <x:c r="A58" s="54" t="n">
        <x:v>57</x:v>
      </x:c>
      <x:c r="B58" s="54" t="str">
        <x:v>B02</x:v>
      </x:c>
      <x:c r="C58" s="54" t="str">
        <x:v>RULE-B02-05</x:v>
      </x:c>
      <x:c r="D58" s="54" t="str">
        <x:v>主绑定</x:v>
      </x:c>
    </x:row>
    <x:row r="59" ht="15" hidden="0" customHeight="1">
      <x:c r="A59" s="54" t="n">
        <x:v>58</x:v>
      </x:c>
      <x:c r="B59" s="54" t="str">
        <x:v>B03</x:v>
      </x:c>
      <x:c r="C59" s="54" t="str">
        <x:v>RULE-B03-01</x:v>
      </x:c>
      <x:c r="D59" s="54" t="str">
        <x:v>主绑定</x:v>
      </x:c>
    </x:row>
    <x:row r="60" ht="15" hidden="0" customHeight="1">
      <x:c r="A60" s="54" t="n">
        <x:v>59</x:v>
      </x:c>
      <x:c r="B60" s="54" t="str">
        <x:v>B03</x:v>
      </x:c>
      <x:c r="C60" s="54" t="str">
        <x:v>RULE-B03-02</x:v>
      </x:c>
      <x:c r="D60" s="54" t="str">
        <x:v>主绑定</x:v>
      </x:c>
    </x:row>
    <x:row r="61" ht="15" hidden="0" customHeight="1">
      <x:c r="A61" s="54" t="n">
        <x:v>60</x:v>
      </x:c>
      <x:c r="B61" s="54" t="str">
        <x:v>B03</x:v>
      </x:c>
      <x:c r="C61" s="54" t="str">
        <x:v>RULE-B03-03</x:v>
      </x:c>
      <x:c r="D61" s="54" t="str">
        <x:v>主绑定</x:v>
      </x:c>
    </x:row>
    <x:row r="62" ht="15" hidden="0" customHeight="1">
      <x:c r="A62" s="54" t="n">
        <x:v>61</x:v>
      </x:c>
      <x:c r="B62" s="54" t="str">
        <x:v>M101</x:v>
      </x:c>
      <x:c r="C62" s="54" t="str">
        <x:v>RULE-M101-01</x:v>
      </x:c>
      <x:c r="D62" s="54" t="str">
        <x:v>主绑定</x:v>
      </x:c>
    </x:row>
    <x:row r="63" ht="15" hidden="0" customHeight="1">
      <x:c r="A63" s="54" t="n">
        <x:v>62</x:v>
      </x:c>
      <x:c r="B63" s="54" t="str">
        <x:v>M102</x:v>
      </x:c>
      <x:c r="C63" s="54" t="str">
        <x:v>RULE-M102-01</x:v>
      </x:c>
      <x:c r="D63" s="54" t="str">
        <x:v>主绑定</x:v>
      </x:c>
    </x:row>
    <x:row r="64" ht="15" hidden="0" customHeight="1">
      <x:c r="A64" s="54" t="n">
        <x:v>63</x:v>
      </x:c>
      <x:c r="B64" s="54" t="str">
        <x:v>CG01</x:v>
      </x:c>
      <x:c r="C64" s="54" t="str">
        <x:v>RULE-CG01-01</x:v>
      </x:c>
      <x:c r="D64" s="54" t="str">
        <x:v>主绑定</x:v>
      </x:c>
    </x:row>
    <x:row r="65" ht="15" hidden="0" customHeight="1">
      <x:c r="A65" s="54" t="n">
        <x:v>64</x:v>
      </x:c>
      <x:c r="B65" s="54" t="str">
        <x:v>CG01</x:v>
      </x:c>
      <x:c r="C65" s="54" t="str">
        <x:v>RULE-CG01-02</x:v>
      </x:c>
      <x:c r="D65" s="54" t="str">
        <x:v>主绑定</x:v>
      </x:c>
    </x:row>
    <x:row r="66" ht="15" hidden="0" customHeight="1">
      <x:c r="A66" s="54" t="n">
        <x:v>65</x:v>
      </x:c>
      <x:c r="B66" s="54" t="str">
        <x:v>CG01</x:v>
      </x:c>
      <x:c r="C66" s="54" t="str">
        <x:v>RULE-CG01-03</x:v>
      </x:c>
      <x:c r="D66" s="54" t="str">
        <x:v>主绑定</x:v>
      </x:c>
    </x:row>
    <x:row r="67" ht="15" hidden="0" customHeight="1">
      <x:c r="A67" s="54" t="n">
        <x:v>66</x:v>
      </x:c>
      <x:c r="B67" s="54" t="str">
        <x:v>CG01</x:v>
      </x:c>
      <x:c r="C67" s="54" t="str">
        <x:v>RULE-CG01-04</x:v>
      </x:c>
      <x:c r="D67" s="54" t="str">
        <x:v>主绑定</x:v>
      </x:c>
    </x:row>
    <x:row r="68" ht="15" hidden="0" customHeight="1">
      <x:c r="A68" s="54" t="n">
        <x:v>67</x:v>
      </x:c>
      <x:c r="B68" s="54" t="str">
        <x:v>CG01</x:v>
      </x:c>
      <x:c r="C68" s="54" t="str">
        <x:v>RULE-CG01-05</x:v>
      </x:c>
      <x:c r="D68" s="54" t="str">
        <x:v>主绑定</x:v>
      </x:c>
    </x:row>
    <x:row r="69" ht="15" hidden="0" customHeight="1">
      <x:c r="A69" s="54" t="n">
        <x:v>68</x:v>
      </x:c>
      <x:c r="B69" s="54" t="str">
        <x:v>CG01</x:v>
      </x:c>
      <x:c r="C69" s="54" t="str">
        <x:v>RULE-CG01-06</x:v>
      </x:c>
      <x:c r="D69" s="54" t="str">
        <x:v>主绑定</x:v>
      </x:c>
    </x:row>
    <x:row r="70" ht="15" hidden="0" customHeight="1">
      <x:c r="A70" s="54" t="n">
        <x:v>69</x:v>
      </x:c>
      <x:c r="B70" s="54" t="str">
        <x:v>CG02</x:v>
      </x:c>
      <x:c r="C70" s="54" t="str">
        <x:v>RULE-CG02-01</x:v>
      </x:c>
      <x:c r="D70" s="54" t="str">
        <x:v>主绑定</x:v>
      </x:c>
    </x:row>
    <x:row r="71" ht="15" hidden="0" customHeight="1">
      <x:c r="A71" s="54" t="n">
        <x:v>70</x:v>
      </x:c>
      <x:c r="B71" s="54" t="str">
        <x:v>ZB01</x:v>
      </x:c>
      <x:c r="C71" s="54" t="str">
        <x:v>RULE-ZB01-01</x:v>
      </x:c>
      <x:c r="D71" s="54" t="str">
        <x:v>主绑定</x:v>
      </x:c>
    </x:row>
    <x:row r="72" ht="15" hidden="0" customHeight="1">
      <x:c r="A72" s="54" t="n">
        <x:v>71</x:v>
      </x:c>
      <x:c r="B72" s="54" t="str">
        <x:v>ZB01</x:v>
      </x:c>
      <x:c r="C72" s="54" t="str">
        <x:v>RULE-ZB01-02</x:v>
      </x:c>
      <x:c r="D72" s="54" t="str">
        <x:v>主绑定</x:v>
      </x:c>
    </x:row>
    <x:row r="73" ht="15" hidden="0" customHeight="1">
      <x:c r="A73" s="54" t="n">
        <x:v>72</x:v>
      </x:c>
      <x:c r="B73" s="54" t="str">
        <x:v>B04</x:v>
      </x:c>
      <x:c r="C73" s="54" t="str">
        <x:v>RULE-B04-01</x:v>
      </x:c>
      <x:c r="D73" s="54" t="str">
        <x:v>主绑定</x:v>
      </x:c>
    </x:row>
    <x:row r="74" ht="15" hidden="0" customHeight="1">
      <x:c r="A74" s="54" t="n">
        <x:v>73</x:v>
      </x:c>
      <x:c r="B74" s="54" t="str">
        <x:v>B05</x:v>
      </x:c>
      <x:c r="C74" s="54" t="str">
        <x:v>RULE-B05-01</x:v>
      </x:c>
      <x:c r="D74" s="54" t="str">
        <x:v>主绑定</x:v>
      </x:c>
    </x:row>
    <x:row r="75" ht="15" hidden="0" customHeight="1">
      <x:c r="A75" s="54" t="n">
        <x:v>74</x:v>
      </x:c>
      <x:c r="B75" s="54" t="str">
        <x:v>LC01</x:v>
      </x:c>
      <x:c r="C75" s="54" t="str">
        <x:v>RULE-LC01-01</x:v>
      </x:c>
      <x:c r="D75" s="54" t="str">
        <x:v>主绑定</x:v>
      </x:c>
    </x:row>
    <x:row r="76" ht="15" hidden="0" customHeight="1">
      <x:c r="A76" s="54" t="n">
        <x:v>75</x:v>
      </x:c>
      <x:c r="B76" s="54" t="str">
        <x:v>LC01</x:v>
      </x:c>
      <x:c r="C76" s="54" t="str">
        <x:v>RULE-LC01-02</x:v>
      </x:c>
      <x:c r="D76" s="54" t="str">
        <x:v>主绑定</x:v>
      </x:c>
    </x:row>
    <x:row r="77" ht="15" hidden="0" customHeight="1">
      <x:c r="A77" s="54" t="n">
        <x:v>76</x:v>
      </x:c>
      <x:c r="B77" s="54" t="str">
        <x:v>LC01</x:v>
      </x:c>
      <x:c r="C77" s="54" t="str">
        <x:v>RULE-LC01-03</x:v>
      </x:c>
      <x:c r="D77" s="54" t="str">
        <x:v>主绑定</x:v>
      </x:c>
    </x:row>
    <x:row r="78" ht="15" hidden="0" customHeight="1">
      <x:c r="A78" s="54" t="n">
        <x:v>77</x:v>
      </x:c>
      <x:c r="B78" s="54" t="str">
        <x:v>LC01</x:v>
      </x:c>
      <x:c r="C78" s="54" t="str">
        <x:v>RULE-LC01-04</x:v>
      </x:c>
      <x:c r="D78" s="54" t="str">
        <x:v>主绑定</x:v>
      </x:c>
    </x:row>
    <x:row r="79" ht="15" hidden="0" customHeight="1">
      <x:c r="A79" s="54" t="n">
        <x:v>78</x:v>
      </x:c>
      <x:c r="B79" s="54" t="str">
        <x:v>LC02</x:v>
      </x:c>
      <x:c r="C79" s="54" t="str">
        <x:v>RULE-LC02-01</x:v>
      </x:c>
      <x:c r="D79" s="54" t="str">
        <x:v>主绑定</x:v>
      </x:c>
    </x:row>
    <x:row r="80" ht="15" hidden="0" customHeight="1">
      <x:c r="A80" s="54" t="n">
        <x:v>79</x:v>
      </x:c>
      <x:c r="B80" s="54" t="str">
        <x:v>LC02</x:v>
      </x:c>
      <x:c r="C80" s="54" t="str">
        <x:v>RULE-LC02-02</x:v>
      </x:c>
      <x:c r="D80" s="54" t="str">
        <x:v>主绑定</x:v>
      </x:c>
    </x:row>
    <x:row r="81" ht="15" hidden="0" customHeight="1">
      <x:c r="A81" s="54" t="n">
        <x:v>80</x:v>
      </x:c>
      <x:c r="B81" s="54" t="str">
        <x:v>LC02</x:v>
      </x:c>
      <x:c r="C81" s="54" t="str">
        <x:v>RULE-LC02-03</x:v>
      </x:c>
      <x:c r="D81" s="54" t="str">
        <x:v>主绑定</x:v>
      </x:c>
    </x:row>
    <x:row r="82" ht="15" hidden="0" customHeight="1">
      <x:c r="A82" s="54" t="n">
        <x:v>81</x:v>
      </x:c>
      <x:c r="B82" s="54" t="str">
        <x:v>LC02</x:v>
      </x:c>
      <x:c r="C82" s="54" t="str">
        <x:v>RULE-LC02-04</x:v>
      </x:c>
      <x:c r="D82" s="54" t="str">
        <x:v>主绑定</x:v>
      </x:c>
    </x:row>
    <x:row r="83" ht="15" hidden="0" customHeight="1">
      <x:c r="A83" s="54" t="n">
        <x:v>82</x:v>
      </x:c>
      <x:c r="B83" s="54" t="str">
        <x:v>608</x:v>
      </x:c>
      <x:c r="C83" s="54" t="str">
        <x:v>RULE-608-01</x:v>
      </x:c>
      <x:c r="D83" s="54" t="str">
        <x:v>主绑定</x:v>
      </x:c>
    </x:row>
    <x:row r="84" ht="15" hidden="0" customHeight="1">
      <x:c r="A84" s="54" t="n">
        <x:v>83</x:v>
      </x:c>
      <x:c r="B84" s="54" t="str">
        <x:v>HT01</x:v>
      </x:c>
      <x:c r="C84" s="54" t="str">
        <x:v>RULE-HT01-01</x:v>
      </x:c>
      <x:c r="D84" s="54" t="str">
        <x:v>主绑定</x:v>
      </x:c>
    </x:row>
    <x:row r="85" ht="15" hidden="0" customHeight="1">
      <x:c r="A85" s="54" t="n">
        <x:v>84</x:v>
      </x:c>
      <x:c r="B85" s="54" t="str">
        <x:v>HT02</x:v>
      </x:c>
      <x:c r="C85" s="54" t="str">
        <x:v>RULE-HT02-01</x:v>
      </x:c>
      <x:c r="D85" s="54" t="str">
        <x:v>主绑定</x:v>
      </x:c>
    </x:row>
  </x:sheetData>
  <x:pageMargins left="0.7" right="0.7" top="0.75" bottom="0.75" header="0.3" footer="0.3"/>
  <x:tableParts count="1">
    <x:tablePart xmlns:r="http://schemas.openxmlformats.org/officeDocument/2006/relationships" r:id="R0bcbd8e0a9e74a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16" hidden="0" customWidth="1"/>
    <x:col min="5" max="5" width="16" hidden="0" customWidth="1"/>
    <x:col min="6" max="6" width="62" hidden="0" customWidth="1"/>
    <x:col min="7" max="7" width="70" hidden="0" customWidth="1"/>
    <x:col min="8" max="8" width="10" hidden="0" customWidth="1"/>
  </x:cols>
  <x:sheetData>
    <x:row r="1" ht="15" hidden="0" customHeight="1">
      <x:c r="A1" s="13" t="str">
        <x:v>序号</x:v>
      </x:c>
      <x:c r="B1" s="29" t="str">
        <x:v>场景编号</x:v>
      </x:c>
      <x:c r="C1" s="29" t="str">
        <x:v>场景名称</x:v>
      </x:c>
      <x:c r="D1" s="29" t="str">
        <x:v>领域</x:v>
      </x:c>
      <x:c r="E1" s="29" t="str">
        <x:v>主要阶段</x:v>
      </x:c>
      <x:c r="F1" s="29" t="str">
        <x:v>场景说明</x:v>
      </x:c>
      <x:c r="G1" s="29" t="str">
        <x:v>绑定模式编号</x:v>
      </x:c>
      <x:c r="H1" s="14" t="str">
        <x:v>模式数</x:v>
      </x:c>
    </x:row>
    <x:row r="2" ht="15" hidden="0" customHeight="1">
      <x:c r="A2" s="57" t="n">
        <x:v>1</x:v>
      </x:c>
      <x:c r="B2" s="57" t="str">
        <x:v>SCENE-CG-001</x:v>
      </x:c>
      <x:c r="C2" s="57" t="str">
        <x:v>采购方式不合规</x:v>
      </x:c>
      <x:c r="D2" s="57" t="str">
        <x:v>采购</x:v>
      </x:c>
      <x:c r="E2" s="57" t="str">
        <x:v>事前</x:v>
      </x:c>
      <x:c r="F2" s="57" t="str">
        <x:v>识别采购方式选择、审批、集采目录和拆分采购等合规风险。</x:v>
      </x:c>
      <x:c r="G2" s="57" t="str">
        <x:v>CG01、CG02</x:v>
      </x:c>
      <x:c r="H2" s="57" t="n">
        <x:v>2</x:v>
      </x:c>
    </x:row>
    <x:row r="3" ht="15" hidden="0" customHeight="1">
      <x:c r="A3" s="58" t="n">
        <x:v>2</x:v>
      </x:c>
      <x:c r="B3" s="58" t="str">
        <x:v>SCENE-ZB-002</x:v>
      </x:c>
      <x:c r="C3" s="58" t="str">
        <x:v>虚假招标</x:v>
      </x:c>
      <x:c r="D3" s="58" t="str">
        <x:v>采购</x:v>
      </x:c>
      <x:c r="E3" s="58" t="str">
        <x:v>事前/事中</x:v>
      </x:c>
      <x:c r="F3" s="58" t="str">
        <x:v>识别供应商提前介入、定向参数、投标材料同源及陪标行为。</x:v>
      </x:c>
      <x:c r="G3" s="58" t="str">
        <x:v>ZB01</x:v>
      </x:c>
      <x:c r="H3" s="58" t="n">
        <x:v>1</x:v>
      </x:c>
    </x:row>
    <x:row r="4" ht="15" hidden="0" customHeight="1">
      <x:c r="A4" s="58" t="n">
        <x:v>3</x:v>
      </x:c>
      <x:c r="B4" s="58" t="str">
        <x:v>SCENE-BID-003</x:v>
      </x:c>
      <x:c r="C4" s="58" t="str">
        <x:v>围标串标</x:v>
      </x:c>
      <x:c r="D4" s="58" t="str">
        <x:v>采购</x:v>
      </x:c>
      <x:c r="E4" s="58" t="str">
        <x:v>事中/事后</x:v>
      </x:c>
      <x:c r="F4" s="58" t="str">
        <x:v>融合投标文件、工商关联、人员、联系方式和历史投标群组进行判定。</x:v>
      </x:c>
      <x:c r="G4" s="58" t="str">
        <x:v>102、B01、B02、B03、B04、B05</x:v>
      </x:c>
      <x:c r="H4" s="58" t="n">
        <x:v>6</x:v>
      </x:c>
    </x:row>
    <x:row r="5" ht="15" hidden="0" customHeight="1">
      <x:c r="A5" s="58" t="n">
        <x:v>4</x:v>
      </x:c>
      <x:c r="B5" s="58" t="str">
        <x:v>SCENE-LC-004</x:v>
      </x:c>
      <x:c r="C5" s="58" t="str">
        <x:v>采购流程不规范</x:v>
      </x:c>
      <x:c r="D5" s="58" t="str">
        <x:v>采购</x:v>
      </x:c>
      <x:c r="E5" s="58" t="str">
        <x:v>事前/事中</x:v>
      </x:c>
      <x:c r="F5" s="58" t="str">
        <x:v>识别预算、公告、投标期、评审、签约等流程缺失、倒置或不合规。</x:v>
      </x:c>
      <x:c r="G5" s="58" t="str">
        <x:v>LC01、LC02</x:v>
      </x:c>
      <x:c r="H5" s="58" t="n">
        <x:v>2</x:v>
      </x:c>
    </x:row>
    <x:row r="6" ht="24" hidden="0" customHeight="1">
      <x:c r="A6" s="58" t="n">
        <x:v>5</x:v>
      </x:c>
      <x:c r="B6" s="58" t="str">
        <x:v>SCENE-CP-005</x:v>
      </x:c>
      <x:c r="C6" s="58" t="str">
        <x:v>供应商及交易对手风险</x:v>
      </x:c>
      <x:c r="D6" s="58" t="str">
        <x:v>采购/供应链</x:v>
      </x:c>
      <x:c r="E6" s="58" t="str">
        <x:v>事前</x:v>
      </x:c>
      <x:c r="F6" s="58" t="str">
        <x:v>识别甲乙方隐性关联、空壳、失信、涉诉、黑名单和历史履约风险。</x:v>
      </x:c>
      <x:c r="G6" s="58" t="str">
        <x:v>104、105、106、107、301、302、303、304、305、306、307、308、309、310、311、312</x:v>
      </x:c>
      <x:c r="H6" s="58" t="n">
        <x:v>16</x:v>
      </x:c>
    </x:row>
    <x:row r="7" ht="15" hidden="0" customHeight="1">
      <x:c r="A7" s="58" t="n">
        <x:v>6</x:v>
      </x:c>
      <x:c r="B7" s="58" t="str">
        <x:v>SCENE-TRADE-006</x:v>
      </x:c>
      <x:c r="C7" s="58" t="str">
        <x:v>贸易背景及循环贸易</x:v>
      </x:c>
      <x:c r="D7" s="58" t="str">
        <x:v>供应链</x:v>
      </x:c>
      <x:c r="E7" s="58" t="str">
        <x:v>事中/事后</x:v>
      </x:c>
      <x:c r="F7" s="58" t="str">
        <x:v>识别同标的双向交易、上下游关联、循环贸易和虚增贸易链路。</x:v>
      </x:c>
      <x:c r="G7" s="58" t="str">
        <x:v>101、103、401、402、403、404、405、801、802、803、805</x:v>
      </x:c>
      <x:c r="H7" s="58" t="n">
        <x:v>11</x:v>
      </x:c>
    </x:row>
    <x:row r="8" ht="15" hidden="0" customHeight="1">
      <x:c r="A8" s="58" t="n">
        <x:v>7</x:v>
      </x:c>
      <x:c r="B8" s="58" t="str">
        <x:v>SCENE-ORDER-007</x:v>
      </x:c>
      <x:c r="C8" s="58" t="str">
        <x:v>合同订单及价格异常</x:v>
      </x:c>
      <x:c r="D8" s="58" t="str">
        <x:v>合同/供应链</x:v>
      </x:c>
      <x:c r="E8" s="58" t="str">
        <x:v>事前/事中</x:v>
      </x:c>
      <x:c r="F8" s="58" t="str">
        <x:v>识别低毛利、微价差、融资性贸易以及历史和横向价格异常。</x:v>
      </x:c>
      <x:c r="G8" s="58" t="str">
        <x:v>201、202、203、204、A01、A02</x:v>
      </x:c>
      <x:c r="H8" s="58" t="n">
        <x:v>6</x:v>
      </x:c>
    </x:row>
    <x:row r="9" ht="15" hidden="0" customHeight="1">
      <x:c r="A9" s="58" t="n">
        <x:v>8</x:v>
      </x:c>
      <x:c r="B9" s="58" t="str">
        <x:v>SCENE-SETTLE-008</x:v>
      </x:c>
      <x:c r="C9" s="58" t="str">
        <x:v>结算模式异常</x:v>
      </x:c>
      <x:c r="D9" s="58" t="str">
        <x:v>财务</x:v>
      </x:c>
      <x:c r="E9" s="58" t="str">
        <x:v>事中/事后</x:v>
      </x:c>
      <x:c r="F9" s="58" t="str">
        <x:v>识别双向收付款、双向挂账及合同发票资金主体不一致。</x:v>
      </x:c>
      <x:c r="G9" s="58" t="str">
        <x:v>501、502、503</x:v>
      </x:c>
      <x:c r="H9" s="58" t="n">
        <x:v>3</x:v>
      </x:c>
    </x:row>
    <x:row r="10" ht="15" hidden="0" customHeight="1">
      <x:c r="A10" s="58" t="n">
        <x:v>9</x:v>
      </x:c>
      <x:c r="B10" s="58" t="str">
        <x:v>SCENE-FUND-009</x:v>
      </x:c>
      <x:c r="C10" s="58" t="str">
        <x:v>资金流异常</x:v>
      </x:c>
      <x:c r="D10" s="58" t="str">
        <x:v>财务</x:v>
      </x:c>
      <x:c r="E10" s="58" t="str">
        <x:v>事中/事后</x:v>
      </x:c>
      <x:c r="F10" s="58" t="str">
        <x:v>识别资金占用、异常预付、账户同源、资金回流和个人账户收款。</x:v>
      </x:c>
      <x:c r="G10" s="58" t="str">
        <x:v>601、602、603、604、605、606、607、804、608</x:v>
      </x:c>
      <x:c r="H10" s="58" t="n">
        <x:v>9</x:v>
      </x:c>
    </x:row>
    <x:row r="11" ht="15" hidden="0" customHeight="1">
      <x:c r="A11" s="58" t="n">
        <x:v>10</x:v>
      </x:c>
      <x:c r="B11" s="58" t="str">
        <x:v>SCENE-DELIVERY-010</x:v>
      </x:c>
      <x:c r="C11" s="58" t="str">
        <x:v>货权及交付异常</x:v>
      </x:c>
      <x:c r="D11" s="58" t="str">
        <x:v>供应链</x:v>
      </x:c>
      <x:c r="E11" s="58" t="str">
        <x:v>事后</x:v>
      </x:c>
      <x:c r="F11" s="58" t="str">
        <x:v>识别无交付凭证、数量不符、非标仓单及异常货物流转。</x:v>
      </x:c>
      <x:c r="G11" s="58" t="str">
        <x:v>701、702、703</x:v>
      </x:c>
      <x:c r="H11" s="58" t="n">
        <x:v>3</x:v>
      </x:c>
    </x:row>
    <x:row r="12" ht="15" hidden="0" customHeight="1">
      <x:c r="A12" s="58" t="n">
        <x:v>11</x:v>
      </x:c>
      <x:c r="B12" s="58" t="str">
        <x:v>SCENE-CONTRACT-011</x:v>
      </x:c>
      <x:c r="C12" s="58" t="str">
        <x:v>合同履约与变更异常</x:v>
      </x:c>
      <x:c r="D12" s="58" t="str">
        <x:v>合同</x:v>
      </x:c>
      <x:c r="E12" s="58" t="str">
        <x:v>事中/事后</x:v>
      </x:c>
      <x:c r="F12" s="58" t="str">
        <x:v>识别中标后重大变更、验收前高比例付款和合同履约异常。</x:v>
      </x:c>
      <x:c r="G12" s="58" t="str">
        <x:v>HT01、HT02</x:v>
      </x:c>
      <x:c r="H12" s="58" t="n">
        <x:v>2</x:v>
      </x:c>
    </x:row>
    <x:row r="13" ht="15" hidden="0" customHeight="1">
      <x:c r="A13" s="58" t="n">
        <x:v>12</x:v>
      </x:c>
      <x:c r="B13" s="58" t="str">
        <x:v>SCENE-AI-012</x:v>
      </x:c>
      <x:c r="C13" s="58" t="str">
        <x:v>智能评标与合同审查</x:v>
      </x:c>
      <x:c r="D13" s="58" t="str">
        <x:v>采购/合同</x:v>
      </x:c>
      <x:c r="E13" s="58" t="str">
        <x:v>事前/事中</x:v>
      </x:c>
      <x:c r="F13" s="58" t="str">
        <x:v>提供智能评标、合作建议和合同法律风险审查能力。</x:v>
      </x:c>
      <x:c r="G13" s="58" t="str">
        <x:v>M101、M102</x:v>
      </x:c>
      <x:c r="H13" s="5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a7d6f3da7e14834"/>
  </x:tableParts>
</x:worksheet>
</file>